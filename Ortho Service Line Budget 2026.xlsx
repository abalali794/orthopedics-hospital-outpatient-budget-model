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rahmanalali/Desktop/GitHub Projects/Orthopedics Budget/"/>
    </mc:Choice>
  </mc:AlternateContent>
  <xr:revisionPtr revIDLastSave="0" documentId="13_ncr:1_{D410EEA5-91D8-4044-BC3A-26D48644CC91}" xr6:coauthVersionLast="47" xr6:coauthVersionMax="47" xr10:uidLastSave="{00000000-0000-0000-0000-000000000000}"/>
  <bookViews>
    <workbookView xWindow="10860" yWindow="1020" windowWidth="37300" windowHeight="24780" activeTab="5" xr2:uid="{7CBA2213-CAB6-7642-AE06-745A0A2A7858}"/>
  </bookViews>
  <sheets>
    <sheet name="Cover Page" sheetId="11" r:id="rId1"/>
    <sheet name="Annual Budget" sheetId="12" r:id="rId2"/>
    <sheet name="Detailed Budget" sheetId="1" r:id="rId3"/>
    <sheet name="Procedure Margin" sheetId="5" r:id="rId4"/>
    <sheet name="Capacity" sheetId="7" r:id="rId5"/>
    <sheet name="Break-Even Analysis" sheetId="6" r:id="rId6"/>
    <sheet name="Productivity" sheetId="9" r:id="rId7"/>
    <sheet name="Payor Mix" sheetId="3" r:id="rId8"/>
    <sheet name="Analysis Input" sheetId="8" r:id="rId9"/>
    <sheet name="Assumption" sheetId="2" r:id="rId10"/>
    <sheet name="Detail Catalog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2" l="1"/>
  <c r="C16" i="12"/>
  <c r="C11" i="12"/>
  <c r="D22" i="12"/>
  <c r="F22" i="12" s="1"/>
  <c r="D10" i="12"/>
  <c r="F10" i="12" s="1"/>
  <c r="D8" i="12"/>
  <c r="F8" i="12" s="1"/>
  <c r="E22" i="12" l="1"/>
  <c r="C25" i="12"/>
  <c r="C26" i="12" s="1"/>
  <c r="C29" i="9"/>
  <c r="C28" i="9"/>
  <c r="C27" i="9"/>
  <c r="C26" i="9"/>
  <c r="C58" i="2"/>
  <c r="C19" i="9" s="1"/>
  <c r="C13" i="9"/>
  <c r="C14" i="9"/>
  <c r="C15" i="9"/>
  <c r="C16" i="9"/>
  <c r="C17" i="9"/>
  <c r="C18" i="9"/>
  <c r="C12" i="9"/>
  <c r="C11" i="9"/>
  <c r="C10" i="9"/>
  <c r="C9" i="9"/>
  <c r="C46" i="7"/>
  <c r="C47" i="7" s="1"/>
  <c r="C45" i="7"/>
  <c r="C44" i="7"/>
  <c r="C43" i="7"/>
  <c r="C38" i="7"/>
  <c r="C34" i="7"/>
  <c r="C30" i="7"/>
  <c r="C28" i="7"/>
  <c r="C29" i="7"/>
  <c r="C31" i="7"/>
  <c r="C32" i="7"/>
  <c r="C33" i="7"/>
  <c r="C35" i="7"/>
  <c r="C36" i="7"/>
  <c r="C37" i="7"/>
  <c r="C27" i="7"/>
  <c r="C20" i="7"/>
  <c r="E28" i="7" s="1"/>
  <c r="E9" i="7"/>
  <c r="E10" i="7"/>
  <c r="E11" i="7"/>
  <c r="E12" i="7"/>
  <c r="E13" i="7"/>
  <c r="E14" i="7"/>
  <c r="E15" i="7"/>
  <c r="E8" i="7"/>
  <c r="D9" i="7"/>
  <c r="D10" i="7"/>
  <c r="D11" i="7"/>
  <c r="D14" i="7"/>
  <c r="D15" i="7"/>
  <c r="C9" i="7"/>
  <c r="C10" i="7"/>
  <c r="C11" i="7"/>
  <c r="C12" i="7"/>
  <c r="C13" i="7"/>
  <c r="C14" i="7"/>
  <c r="C15" i="7"/>
  <c r="C8" i="7"/>
  <c r="G13" i="2"/>
  <c r="F38" i="1" s="1"/>
  <c r="G12" i="2"/>
  <c r="F49" i="1" s="1"/>
  <c r="M18" i="5"/>
  <c r="M17" i="5"/>
  <c r="M15" i="5"/>
  <c r="M14" i="5"/>
  <c r="M11" i="5"/>
  <c r="M16" i="5"/>
  <c r="M13" i="5"/>
  <c r="M12" i="5"/>
  <c r="H12" i="5"/>
  <c r="H13" i="5"/>
  <c r="H14" i="5"/>
  <c r="H15" i="5"/>
  <c r="H16" i="5"/>
  <c r="H17" i="5"/>
  <c r="H18" i="5"/>
  <c r="H11" i="5"/>
  <c r="G12" i="5"/>
  <c r="G13" i="5"/>
  <c r="G14" i="5"/>
  <c r="G15" i="5"/>
  <c r="G16" i="5"/>
  <c r="G17" i="5"/>
  <c r="G18" i="5"/>
  <c r="G11" i="5"/>
  <c r="F18" i="5"/>
  <c r="F17" i="5"/>
  <c r="F16" i="5"/>
  <c r="F15" i="5"/>
  <c r="I15" i="5" s="1"/>
  <c r="F14" i="5"/>
  <c r="F11" i="5"/>
  <c r="F13" i="5"/>
  <c r="F12" i="5"/>
  <c r="C12" i="5"/>
  <c r="C13" i="5"/>
  <c r="C14" i="5"/>
  <c r="C15" i="5"/>
  <c r="C16" i="5"/>
  <c r="C17" i="5"/>
  <c r="C18" i="5"/>
  <c r="C11" i="5"/>
  <c r="G47" i="1"/>
  <c r="H47" i="1" s="1"/>
  <c r="G52" i="1"/>
  <c r="H52" i="1" s="1"/>
  <c r="G51" i="1"/>
  <c r="H51" i="1" s="1"/>
  <c r="G50" i="1"/>
  <c r="H50" i="1" s="1"/>
  <c r="G49" i="1"/>
  <c r="G48" i="1"/>
  <c r="H48" i="1" s="1"/>
  <c r="C14" i="6" s="1"/>
  <c r="G46" i="1"/>
  <c r="G45" i="1"/>
  <c r="G40" i="1"/>
  <c r="G41" i="1"/>
  <c r="G39" i="1"/>
  <c r="G38" i="1"/>
  <c r="F41" i="1"/>
  <c r="G11" i="2"/>
  <c r="G33" i="1"/>
  <c r="G34" i="1"/>
  <c r="G32" i="1"/>
  <c r="H32" i="1" s="1"/>
  <c r="G31" i="1"/>
  <c r="G23" i="1"/>
  <c r="G24" i="1"/>
  <c r="G25" i="1"/>
  <c r="G26" i="1"/>
  <c r="G27" i="1"/>
  <c r="G28" i="1"/>
  <c r="G29" i="1"/>
  <c r="G30" i="1"/>
  <c r="G22" i="1"/>
  <c r="F23" i="1"/>
  <c r="F24" i="1"/>
  <c r="F25" i="1"/>
  <c r="F26" i="1"/>
  <c r="F27" i="1"/>
  <c r="F28" i="1"/>
  <c r="F29" i="1"/>
  <c r="F30" i="1"/>
  <c r="F22" i="1"/>
  <c r="M5" i="1"/>
  <c r="R5" i="1"/>
  <c r="S5" i="1"/>
  <c r="G17" i="1"/>
  <c r="G18" i="1"/>
  <c r="G16" i="1"/>
  <c r="G8" i="1"/>
  <c r="G9" i="1"/>
  <c r="G10" i="1"/>
  <c r="G11" i="1"/>
  <c r="G12" i="1"/>
  <c r="G13" i="1"/>
  <c r="G14" i="1"/>
  <c r="G15" i="1"/>
  <c r="F17" i="1"/>
  <c r="F18" i="1"/>
  <c r="F16" i="1"/>
  <c r="F9" i="1"/>
  <c r="F10" i="1"/>
  <c r="F11" i="1"/>
  <c r="F12" i="1"/>
  <c r="F13" i="1"/>
  <c r="F14" i="1"/>
  <c r="F15" i="1"/>
  <c r="F8" i="1"/>
  <c r="G41" i="2"/>
  <c r="H17" i="1" s="1"/>
  <c r="R17" i="1" s="1"/>
  <c r="G42" i="2"/>
  <c r="H18" i="1" s="1"/>
  <c r="P18" i="1" s="1"/>
  <c r="G40" i="2"/>
  <c r="H16" i="1" s="1"/>
  <c r="C15" i="3"/>
  <c r="C22" i="3" s="1"/>
  <c r="D22" i="3"/>
  <c r="D23" i="3"/>
  <c r="D24" i="3"/>
  <c r="D21" i="3"/>
  <c r="E7" i="3"/>
  <c r="E8" i="3"/>
  <c r="E9" i="3"/>
  <c r="E6" i="3"/>
  <c r="C10" i="3"/>
  <c r="E50" i="2"/>
  <c r="H23" i="1" s="1"/>
  <c r="I23" i="1" s="1"/>
  <c r="E51" i="2"/>
  <c r="H24" i="1" s="1"/>
  <c r="I24" i="1" s="1"/>
  <c r="E52" i="2"/>
  <c r="H25" i="1" s="1"/>
  <c r="I25" i="1" s="1"/>
  <c r="E53" i="2"/>
  <c r="H26" i="1" s="1"/>
  <c r="I26" i="1" s="1"/>
  <c r="E54" i="2"/>
  <c r="H27" i="1" s="1"/>
  <c r="I27" i="1" s="1"/>
  <c r="E55" i="2"/>
  <c r="H28" i="1" s="1"/>
  <c r="I28" i="1" s="1"/>
  <c r="E56" i="2"/>
  <c r="H29" i="1" s="1"/>
  <c r="I29" i="1" s="1"/>
  <c r="E57" i="2"/>
  <c r="H30" i="1" s="1"/>
  <c r="I30" i="1" s="1"/>
  <c r="E49" i="2"/>
  <c r="H22" i="1" s="1"/>
  <c r="I22" i="1" s="1"/>
  <c r="C39" i="2"/>
  <c r="C19" i="5" s="1"/>
  <c r="F13" i="7" l="1"/>
  <c r="G13" i="7" s="1"/>
  <c r="F11" i="7"/>
  <c r="G11" i="7" s="1"/>
  <c r="F40" i="1"/>
  <c r="D9" i="12"/>
  <c r="I17" i="5"/>
  <c r="J17" i="5" s="1"/>
  <c r="I16" i="5"/>
  <c r="J16" i="5" s="1"/>
  <c r="I14" i="5"/>
  <c r="J14" i="5" s="1"/>
  <c r="I18" i="5"/>
  <c r="J18" i="5" s="1"/>
  <c r="I11" i="5"/>
  <c r="J11" i="5" s="1"/>
  <c r="I13" i="5"/>
  <c r="J13" i="5" s="1"/>
  <c r="Q27" i="1"/>
  <c r="J27" i="1"/>
  <c r="I12" i="5"/>
  <c r="J12" i="5" s="1"/>
  <c r="F14" i="7"/>
  <c r="G14" i="7" s="1"/>
  <c r="C26" i="6"/>
  <c r="C8" i="9"/>
  <c r="J23" i="1"/>
  <c r="J15" i="5"/>
  <c r="R27" i="1"/>
  <c r="F8" i="7"/>
  <c r="G8" i="7" s="1"/>
  <c r="C13" i="6"/>
  <c r="C25" i="9"/>
  <c r="F10" i="7"/>
  <c r="G10" i="7" s="1"/>
  <c r="F9" i="7"/>
  <c r="G9" i="7" s="1"/>
  <c r="F12" i="7"/>
  <c r="G12" i="7" s="1"/>
  <c r="F15" i="7"/>
  <c r="G15" i="7" s="1"/>
  <c r="E35" i="7"/>
  <c r="E34" i="7"/>
  <c r="E33" i="7"/>
  <c r="E32" i="7"/>
  <c r="E27" i="7"/>
  <c r="E31" i="7"/>
  <c r="E38" i="7"/>
  <c r="E30" i="7"/>
  <c r="E37" i="7"/>
  <c r="E29" i="7"/>
  <c r="E36" i="7"/>
  <c r="C16" i="7"/>
  <c r="H49" i="1"/>
  <c r="Q49" i="1" s="1"/>
  <c r="O51" i="1"/>
  <c r="N51" i="1"/>
  <c r="L24" i="1"/>
  <c r="F45" i="1"/>
  <c r="H45" i="1" s="1"/>
  <c r="C12" i="6" s="1"/>
  <c r="M23" i="1"/>
  <c r="F39" i="1"/>
  <c r="H39" i="1" s="1"/>
  <c r="C9" i="6" s="1"/>
  <c r="F46" i="1"/>
  <c r="H46" i="1" s="1"/>
  <c r="O46" i="1" s="1"/>
  <c r="O24" i="1"/>
  <c r="L23" i="1"/>
  <c r="P30" i="1"/>
  <c r="J22" i="1"/>
  <c r="H38" i="1"/>
  <c r="N52" i="1"/>
  <c r="J52" i="1"/>
  <c r="K52" i="1"/>
  <c r="T52" i="1"/>
  <c r="M52" i="1"/>
  <c r="O52" i="1"/>
  <c r="Q52" i="1"/>
  <c r="P52" i="1"/>
  <c r="R52" i="1"/>
  <c r="S52" i="1"/>
  <c r="L52" i="1"/>
  <c r="I52" i="1"/>
  <c r="M51" i="1"/>
  <c r="T51" i="1"/>
  <c r="L51" i="1"/>
  <c r="S51" i="1"/>
  <c r="K51" i="1"/>
  <c r="R51" i="1"/>
  <c r="J51" i="1"/>
  <c r="I51" i="1"/>
  <c r="Q51" i="1"/>
  <c r="P51" i="1"/>
  <c r="K47" i="1"/>
  <c r="S47" i="1"/>
  <c r="L47" i="1"/>
  <c r="T47" i="1"/>
  <c r="M47" i="1"/>
  <c r="I47" i="1"/>
  <c r="N47" i="1"/>
  <c r="O47" i="1"/>
  <c r="P47" i="1"/>
  <c r="Q47" i="1"/>
  <c r="J47" i="1"/>
  <c r="R47" i="1"/>
  <c r="O50" i="1"/>
  <c r="P50" i="1"/>
  <c r="J50" i="1"/>
  <c r="R50" i="1"/>
  <c r="K50" i="1"/>
  <c r="S50" i="1"/>
  <c r="L50" i="1"/>
  <c r="T50" i="1"/>
  <c r="M50" i="1"/>
  <c r="I50" i="1"/>
  <c r="N50" i="1"/>
  <c r="Q50" i="1"/>
  <c r="H41" i="1"/>
  <c r="Q41" i="1" s="1"/>
  <c r="N48" i="1"/>
  <c r="I48" i="1"/>
  <c r="R48" i="1"/>
  <c r="S48" i="1"/>
  <c r="O48" i="1"/>
  <c r="P48" i="1"/>
  <c r="L48" i="1"/>
  <c r="T48" i="1"/>
  <c r="M48" i="1"/>
  <c r="Q48" i="1"/>
  <c r="J48" i="1"/>
  <c r="K48" i="1"/>
  <c r="L26" i="1"/>
  <c r="P25" i="1"/>
  <c r="N26" i="1"/>
  <c r="R24" i="1"/>
  <c r="O23" i="1"/>
  <c r="O22" i="1"/>
  <c r="O28" i="1"/>
  <c r="M26" i="1"/>
  <c r="Q24" i="1"/>
  <c r="N23" i="1"/>
  <c r="M22" i="1"/>
  <c r="K26" i="1"/>
  <c r="O25" i="1"/>
  <c r="J24" i="1"/>
  <c r="R22" i="1"/>
  <c r="S26" i="1"/>
  <c r="T24" i="1"/>
  <c r="T23" i="1"/>
  <c r="Q22" i="1"/>
  <c r="K24" i="1"/>
  <c r="T26" i="1"/>
  <c r="H40" i="1"/>
  <c r="Q30" i="1"/>
  <c r="Q26" i="1"/>
  <c r="S24" i="1"/>
  <c r="R23" i="1"/>
  <c r="P22" i="1"/>
  <c r="M32" i="1"/>
  <c r="K32" i="1"/>
  <c r="N32" i="1"/>
  <c r="S32" i="1"/>
  <c r="O32" i="1"/>
  <c r="R32" i="1"/>
  <c r="P32" i="1"/>
  <c r="Q32" i="1"/>
  <c r="L32" i="1"/>
  <c r="T32" i="1"/>
  <c r="I32" i="1"/>
  <c r="J32" i="1"/>
  <c r="L16" i="1"/>
  <c r="R30" i="1"/>
  <c r="J30" i="1"/>
  <c r="M29" i="1"/>
  <c r="P28" i="1"/>
  <c r="S27" i="1"/>
  <c r="K27" i="1"/>
  <c r="Q25" i="1"/>
  <c r="S29" i="1"/>
  <c r="O30" i="1"/>
  <c r="R29" i="1"/>
  <c r="M28" i="1"/>
  <c r="P27" i="1"/>
  <c r="N25" i="1"/>
  <c r="K29" i="1"/>
  <c r="J29" i="1"/>
  <c r="N30" i="1"/>
  <c r="Q29" i="1"/>
  <c r="T28" i="1"/>
  <c r="L28" i="1"/>
  <c r="O27" i="1"/>
  <c r="R26" i="1"/>
  <c r="J26" i="1"/>
  <c r="M25" i="1"/>
  <c r="P24" i="1"/>
  <c r="S23" i="1"/>
  <c r="K23" i="1"/>
  <c r="N22" i="1"/>
  <c r="P29" i="1"/>
  <c r="K28" i="1"/>
  <c r="N27" i="1"/>
  <c r="T25" i="1"/>
  <c r="L25" i="1"/>
  <c r="L29" i="1"/>
  <c r="N28" i="1"/>
  <c r="S28" i="1"/>
  <c r="T30" i="1"/>
  <c r="L30" i="1"/>
  <c r="O29" i="1"/>
  <c r="R28" i="1"/>
  <c r="J28" i="1"/>
  <c r="M27" i="1"/>
  <c r="P26" i="1"/>
  <c r="S25" i="1"/>
  <c r="K25" i="1"/>
  <c r="N24" i="1"/>
  <c r="Q23" i="1"/>
  <c r="T22" i="1"/>
  <c r="L22" i="1"/>
  <c r="T29" i="1"/>
  <c r="M30" i="1"/>
  <c r="S30" i="1"/>
  <c r="K30" i="1"/>
  <c r="N29" i="1"/>
  <c r="Q28" i="1"/>
  <c r="T27" i="1"/>
  <c r="L27" i="1"/>
  <c r="O26" i="1"/>
  <c r="R25" i="1"/>
  <c r="J25" i="1"/>
  <c r="M24" i="1"/>
  <c r="P23" i="1"/>
  <c r="S22" i="1"/>
  <c r="K22" i="1"/>
  <c r="G43" i="2"/>
  <c r="D15" i="12" s="1"/>
  <c r="C21" i="3"/>
  <c r="E21" i="3" s="1"/>
  <c r="C24" i="3"/>
  <c r="E24" i="3" s="1"/>
  <c r="E58" i="2"/>
  <c r="C23" i="3"/>
  <c r="E23" i="3" s="1"/>
  <c r="Q17" i="1"/>
  <c r="F19" i="1"/>
  <c r="S16" i="1"/>
  <c r="R16" i="1"/>
  <c r="K16" i="1"/>
  <c r="J17" i="1"/>
  <c r="J18" i="1"/>
  <c r="U5" i="1"/>
  <c r="J16" i="1"/>
  <c r="M18" i="1"/>
  <c r="O17" i="1"/>
  <c r="Q16" i="1"/>
  <c r="I18" i="1"/>
  <c r="T18" i="1"/>
  <c r="L18" i="1"/>
  <c r="N17" i="1"/>
  <c r="P16" i="1"/>
  <c r="P17" i="1"/>
  <c r="S18" i="1"/>
  <c r="I16" i="1"/>
  <c r="R18" i="1"/>
  <c r="T17" i="1"/>
  <c r="L17" i="1"/>
  <c r="N16" i="1"/>
  <c r="O18" i="1"/>
  <c r="N18" i="1"/>
  <c r="I17" i="1"/>
  <c r="K18" i="1"/>
  <c r="M17" i="1"/>
  <c r="O16" i="1"/>
  <c r="Q18" i="1"/>
  <c r="S17" i="1"/>
  <c r="K17" i="1"/>
  <c r="M16" i="1"/>
  <c r="T16" i="1"/>
  <c r="E22" i="3"/>
  <c r="E10" i="3"/>
  <c r="C11" i="3" s="1"/>
  <c r="E32" i="2" s="1"/>
  <c r="F32" i="2" s="1"/>
  <c r="F9" i="12" l="1"/>
  <c r="D11" i="12"/>
  <c r="F11" i="12" s="1"/>
  <c r="F15" i="12"/>
  <c r="E15" i="12"/>
  <c r="I49" i="1"/>
  <c r="T41" i="1"/>
  <c r="G16" i="7"/>
  <c r="C19" i="7" s="1"/>
  <c r="D30" i="7" s="1"/>
  <c r="F30" i="7" s="1"/>
  <c r="K49" i="1"/>
  <c r="C15" i="6"/>
  <c r="N40" i="1"/>
  <c r="C10" i="6"/>
  <c r="K38" i="1"/>
  <c r="C28" i="6"/>
  <c r="C30" i="6" s="1"/>
  <c r="C8" i="6"/>
  <c r="N49" i="1"/>
  <c r="J41" i="1"/>
  <c r="C11" i="6"/>
  <c r="S40" i="1"/>
  <c r="T49" i="1"/>
  <c r="O49" i="1"/>
  <c r="J49" i="1"/>
  <c r="K40" i="1"/>
  <c r="R49" i="1"/>
  <c r="P49" i="1"/>
  <c r="G32" i="2"/>
  <c r="H9" i="1" s="1"/>
  <c r="K9" i="1" s="1"/>
  <c r="D12" i="5"/>
  <c r="M40" i="1"/>
  <c r="M49" i="1"/>
  <c r="I40" i="1"/>
  <c r="Q38" i="1"/>
  <c r="T40" i="1"/>
  <c r="L49" i="1"/>
  <c r="P38" i="1"/>
  <c r="I46" i="1"/>
  <c r="S49" i="1"/>
  <c r="K46" i="1"/>
  <c r="S46" i="1"/>
  <c r="M46" i="1"/>
  <c r="Q46" i="1"/>
  <c r="J46" i="1"/>
  <c r="L46" i="1"/>
  <c r="T46" i="1"/>
  <c r="N46" i="1"/>
  <c r="P46" i="1"/>
  <c r="R46" i="1"/>
  <c r="Q45" i="1"/>
  <c r="P45" i="1"/>
  <c r="K45" i="1"/>
  <c r="R45" i="1"/>
  <c r="I45" i="1"/>
  <c r="J45" i="1"/>
  <c r="M45" i="1"/>
  <c r="T45" i="1"/>
  <c r="S45" i="1"/>
  <c r="L45" i="1"/>
  <c r="N45" i="1"/>
  <c r="H53" i="1"/>
  <c r="D21" i="12" s="1"/>
  <c r="O45" i="1"/>
  <c r="R39" i="1"/>
  <c r="L39" i="1"/>
  <c r="P39" i="1"/>
  <c r="K39" i="1"/>
  <c r="O39" i="1"/>
  <c r="N39" i="1"/>
  <c r="S39" i="1"/>
  <c r="T39" i="1"/>
  <c r="Q39" i="1"/>
  <c r="M39" i="1"/>
  <c r="I39" i="1"/>
  <c r="J39" i="1"/>
  <c r="H42" i="1"/>
  <c r="D20" i="12" s="1"/>
  <c r="J40" i="1"/>
  <c r="R40" i="1"/>
  <c r="I38" i="1"/>
  <c r="S38" i="1"/>
  <c r="L41" i="1"/>
  <c r="O38" i="1"/>
  <c r="R38" i="1"/>
  <c r="S41" i="1"/>
  <c r="L40" i="1"/>
  <c r="K41" i="1"/>
  <c r="P40" i="1"/>
  <c r="M38" i="1"/>
  <c r="P41" i="1"/>
  <c r="N41" i="1"/>
  <c r="O41" i="1"/>
  <c r="H33" i="1"/>
  <c r="H34" i="1"/>
  <c r="Q40" i="1"/>
  <c r="N38" i="1"/>
  <c r="J38" i="1"/>
  <c r="O40" i="1"/>
  <c r="T38" i="1"/>
  <c r="I41" i="1"/>
  <c r="R41" i="1"/>
  <c r="H31" i="1"/>
  <c r="L38" i="1"/>
  <c r="M41" i="1"/>
  <c r="E25" i="3"/>
  <c r="C25" i="3"/>
  <c r="E34" i="2"/>
  <c r="F34" i="2" s="1"/>
  <c r="E35" i="2"/>
  <c r="F35" i="2" s="1"/>
  <c r="E36" i="2"/>
  <c r="F36" i="2" s="1"/>
  <c r="E37" i="2"/>
  <c r="F37" i="2" s="1"/>
  <c r="E33" i="2"/>
  <c r="F33" i="2" s="1"/>
  <c r="E38" i="2"/>
  <c r="F38" i="2" s="1"/>
  <c r="E31" i="2"/>
  <c r="F31" i="2" s="1"/>
  <c r="D36" i="7" l="1"/>
  <c r="F36" i="7" s="1"/>
  <c r="C21" i="7"/>
  <c r="I53" i="1"/>
  <c r="E21" i="12"/>
  <c r="F21" i="12"/>
  <c r="E20" i="12"/>
  <c r="F20" i="12"/>
  <c r="D27" i="7"/>
  <c r="F27" i="7" s="1"/>
  <c r="S53" i="1"/>
  <c r="M53" i="1"/>
  <c r="D37" i="7"/>
  <c r="F37" i="7" s="1"/>
  <c r="D38" i="7"/>
  <c r="F38" i="7" s="1"/>
  <c r="D29" i="7"/>
  <c r="F29" i="7" s="1"/>
  <c r="D35" i="7"/>
  <c r="F35" i="7" s="1"/>
  <c r="C30" i="9"/>
  <c r="D28" i="7"/>
  <c r="F28" i="7" s="1"/>
  <c r="D34" i="7"/>
  <c r="F34" i="7" s="1"/>
  <c r="D33" i="7"/>
  <c r="F33" i="7" s="1"/>
  <c r="D32" i="7"/>
  <c r="F32" i="7" s="1"/>
  <c r="D31" i="7"/>
  <c r="F31" i="7" s="1"/>
  <c r="C22" i="7"/>
  <c r="R53" i="1"/>
  <c r="E12" i="5"/>
  <c r="K12" i="5" s="1"/>
  <c r="N12" i="5" s="1"/>
  <c r="O12" i="5" s="1"/>
  <c r="C16" i="6"/>
  <c r="S42" i="1"/>
  <c r="O53" i="1"/>
  <c r="L42" i="1"/>
  <c r="R9" i="1"/>
  <c r="J9" i="1"/>
  <c r="P9" i="1"/>
  <c r="S9" i="1"/>
  <c r="L9" i="1"/>
  <c r="T9" i="1"/>
  <c r="O9" i="1"/>
  <c r="I9" i="1"/>
  <c r="Q9" i="1"/>
  <c r="N9" i="1"/>
  <c r="M9" i="1"/>
  <c r="G31" i="2"/>
  <c r="H8" i="1" s="1"/>
  <c r="D11" i="5"/>
  <c r="G33" i="2"/>
  <c r="E13" i="5" s="1"/>
  <c r="K13" i="5" s="1"/>
  <c r="D13" i="5"/>
  <c r="G36" i="2"/>
  <c r="D16" i="5"/>
  <c r="G35" i="2"/>
  <c r="E15" i="5" s="1"/>
  <c r="K15" i="5" s="1"/>
  <c r="D15" i="5"/>
  <c r="G38" i="2"/>
  <c r="D18" i="5"/>
  <c r="G37" i="2"/>
  <c r="D17" i="5"/>
  <c r="G34" i="2"/>
  <c r="E14" i="5" s="1"/>
  <c r="K14" i="5" s="1"/>
  <c r="D14" i="5"/>
  <c r="M42" i="1"/>
  <c r="Q53" i="1"/>
  <c r="Q42" i="1"/>
  <c r="N53" i="1"/>
  <c r="H10" i="1"/>
  <c r="L10" i="1" s="1"/>
  <c r="O42" i="1"/>
  <c r="K53" i="1"/>
  <c r="R42" i="1"/>
  <c r="J53" i="1"/>
  <c r="K42" i="1"/>
  <c r="T42" i="1"/>
  <c r="J42" i="1"/>
  <c r="N42" i="1"/>
  <c r="I42" i="1"/>
  <c r="L53" i="1"/>
  <c r="P53" i="1"/>
  <c r="P42" i="1"/>
  <c r="T53" i="1"/>
  <c r="O34" i="1"/>
  <c r="N34" i="1"/>
  <c r="P34" i="1"/>
  <c r="L34" i="1"/>
  <c r="M34" i="1"/>
  <c r="K34" i="1"/>
  <c r="T34" i="1"/>
  <c r="S34" i="1"/>
  <c r="Q34" i="1"/>
  <c r="R34" i="1"/>
  <c r="I34" i="1"/>
  <c r="J34" i="1"/>
  <c r="I31" i="1"/>
  <c r="L31" i="1"/>
  <c r="H35" i="1"/>
  <c r="Q31" i="1"/>
  <c r="T31" i="1"/>
  <c r="R31" i="1"/>
  <c r="M31" i="1"/>
  <c r="O31" i="1"/>
  <c r="J31" i="1"/>
  <c r="N31" i="1"/>
  <c r="K31" i="1"/>
  <c r="P31" i="1"/>
  <c r="S31" i="1"/>
  <c r="I33" i="1"/>
  <c r="J33" i="1"/>
  <c r="P33" i="1"/>
  <c r="Q33" i="1"/>
  <c r="S33" i="1"/>
  <c r="O33" i="1"/>
  <c r="K33" i="1"/>
  <c r="R33" i="1"/>
  <c r="N33" i="1"/>
  <c r="T33" i="1"/>
  <c r="M33" i="1"/>
  <c r="L33" i="1"/>
  <c r="C6" i="5" l="1"/>
  <c r="D19" i="12"/>
  <c r="L12" i="5"/>
  <c r="H12" i="1"/>
  <c r="S12" i="1" s="1"/>
  <c r="R35" i="1"/>
  <c r="I10" i="1"/>
  <c r="L35" i="1"/>
  <c r="L56" i="1" s="1"/>
  <c r="M35" i="1"/>
  <c r="M56" i="1" s="1"/>
  <c r="S35" i="1"/>
  <c r="S56" i="1" s="1"/>
  <c r="H56" i="1"/>
  <c r="C41" i="9"/>
  <c r="C40" i="9"/>
  <c r="C39" i="9"/>
  <c r="T12" i="1"/>
  <c r="P12" i="1"/>
  <c r="O8" i="1"/>
  <c r="R8" i="1"/>
  <c r="K8" i="1"/>
  <c r="P8" i="1"/>
  <c r="J8" i="1"/>
  <c r="G39" i="2"/>
  <c r="E11" i="5"/>
  <c r="K11" i="5" s="1"/>
  <c r="N11" i="5" s="1"/>
  <c r="O11" i="5" s="1"/>
  <c r="K10" i="1"/>
  <c r="Q12" i="1"/>
  <c r="L8" i="1"/>
  <c r="T8" i="1"/>
  <c r="N8" i="1"/>
  <c r="R10" i="1"/>
  <c r="S8" i="1"/>
  <c r="Q10" i="1"/>
  <c r="M8" i="1"/>
  <c r="Q8" i="1"/>
  <c r="N10" i="1"/>
  <c r="J12" i="1"/>
  <c r="H13" i="1"/>
  <c r="E16" i="5"/>
  <c r="K16" i="5" s="1"/>
  <c r="M12" i="1"/>
  <c r="M10" i="1"/>
  <c r="N12" i="1"/>
  <c r="L12" i="1"/>
  <c r="H14" i="1"/>
  <c r="E17" i="5"/>
  <c r="O12" i="1"/>
  <c r="H11" i="1"/>
  <c r="P10" i="1"/>
  <c r="K12" i="1"/>
  <c r="O10" i="1"/>
  <c r="R12" i="1"/>
  <c r="S10" i="1"/>
  <c r="I12" i="1"/>
  <c r="H15" i="1"/>
  <c r="E18" i="5"/>
  <c r="K18" i="5" s="1"/>
  <c r="N15" i="5"/>
  <c r="O15" i="5" s="1"/>
  <c r="L15" i="5"/>
  <c r="L14" i="5"/>
  <c r="N14" i="5"/>
  <c r="O14" i="5" s="1"/>
  <c r="L13" i="5"/>
  <c r="N13" i="5"/>
  <c r="O13" i="5" s="1"/>
  <c r="T10" i="1"/>
  <c r="J10" i="1"/>
  <c r="R56" i="1"/>
  <c r="I8" i="1"/>
  <c r="P35" i="1"/>
  <c r="P56" i="1" s="1"/>
  <c r="N35" i="1"/>
  <c r="N56" i="1" s="1"/>
  <c r="T35" i="1"/>
  <c r="T56" i="1" s="1"/>
  <c r="Q35" i="1"/>
  <c r="Q56" i="1" s="1"/>
  <c r="K35" i="1"/>
  <c r="K56" i="1" s="1"/>
  <c r="J35" i="1"/>
  <c r="J56" i="1" s="1"/>
  <c r="I35" i="1"/>
  <c r="I56" i="1" s="1"/>
  <c r="O35" i="1"/>
  <c r="O56" i="1" s="1"/>
  <c r="C16" i="3" l="1"/>
  <c r="C17" i="3" s="1"/>
  <c r="D14" i="12"/>
  <c r="K17" i="5"/>
  <c r="L17" i="5" s="1"/>
  <c r="E19" i="5"/>
  <c r="E19" i="12"/>
  <c r="F19" i="12"/>
  <c r="C22" i="6"/>
  <c r="D23" i="12"/>
  <c r="C27" i="6"/>
  <c r="C29" i="6" s="1"/>
  <c r="C31" i="6" s="1"/>
  <c r="G44" i="2"/>
  <c r="C32" i="6" s="1"/>
  <c r="C33" i="6" s="1"/>
  <c r="L11" i="5"/>
  <c r="P15" i="1"/>
  <c r="L15" i="1"/>
  <c r="I15" i="1"/>
  <c r="Q15" i="1"/>
  <c r="R15" i="1"/>
  <c r="S15" i="1"/>
  <c r="J15" i="1"/>
  <c r="O15" i="1"/>
  <c r="N15" i="1"/>
  <c r="K15" i="1"/>
  <c r="M15" i="1"/>
  <c r="T15" i="1"/>
  <c r="S11" i="1"/>
  <c r="I11" i="1"/>
  <c r="N11" i="1"/>
  <c r="L11" i="1"/>
  <c r="H19" i="1"/>
  <c r="K11" i="1"/>
  <c r="P11" i="1"/>
  <c r="Q11" i="1"/>
  <c r="M11" i="1"/>
  <c r="R11" i="1"/>
  <c r="T11" i="1"/>
  <c r="O11" i="1"/>
  <c r="J11" i="1"/>
  <c r="R13" i="1"/>
  <c r="K13" i="1"/>
  <c r="P13" i="1"/>
  <c r="S13" i="1"/>
  <c r="T13" i="1"/>
  <c r="J13" i="1"/>
  <c r="I13" i="1"/>
  <c r="N13" i="1"/>
  <c r="M13" i="1"/>
  <c r="L13" i="1"/>
  <c r="Q13" i="1"/>
  <c r="O13" i="1"/>
  <c r="N17" i="5"/>
  <c r="O17" i="5" s="1"/>
  <c r="N18" i="5"/>
  <c r="O18" i="5" s="1"/>
  <c r="L18" i="5"/>
  <c r="L16" i="5"/>
  <c r="N16" i="5"/>
  <c r="O16" i="5" s="1"/>
  <c r="S14" i="1"/>
  <c r="J14" i="1"/>
  <c r="P14" i="1"/>
  <c r="Q14" i="1"/>
  <c r="N14" i="1"/>
  <c r="R14" i="1"/>
  <c r="K14" i="1"/>
  <c r="O14" i="1"/>
  <c r="M14" i="1"/>
  <c r="T14" i="1"/>
  <c r="I14" i="1"/>
  <c r="L14" i="1"/>
  <c r="E14" i="12" l="1"/>
  <c r="F14" i="12"/>
  <c r="D16" i="12"/>
  <c r="F23" i="12"/>
  <c r="E23" i="12"/>
  <c r="C37" i="9"/>
  <c r="C38" i="9"/>
  <c r="C36" i="9"/>
  <c r="T19" i="1"/>
  <c r="T57" i="1" s="1"/>
  <c r="T58" i="1" s="1"/>
  <c r="P19" i="1"/>
  <c r="P57" i="1" s="1"/>
  <c r="P58" i="1" s="1"/>
  <c r="M19" i="1"/>
  <c r="M57" i="1" s="1"/>
  <c r="M58" i="1" s="1"/>
  <c r="J19" i="1"/>
  <c r="J57" i="1" s="1"/>
  <c r="J58" i="1" s="1"/>
  <c r="S19" i="1"/>
  <c r="S57" i="1" s="1"/>
  <c r="S58" i="1" s="1"/>
  <c r="Q19" i="1"/>
  <c r="Q57" i="1" s="1"/>
  <c r="Q58" i="1" s="1"/>
  <c r="K19" i="1"/>
  <c r="K57" i="1" s="1"/>
  <c r="K58" i="1" s="1"/>
  <c r="C5" i="5"/>
  <c r="C42" i="9"/>
  <c r="C19" i="6"/>
  <c r="C20" i="6" s="1"/>
  <c r="C21" i="6" s="1"/>
  <c r="C23" i="6" s="1"/>
  <c r="H57" i="1"/>
  <c r="D25" i="12" s="1"/>
  <c r="F25" i="12" s="1"/>
  <c r="O19" i="1"/>
  <c r="O57" i="1" s="1"/>
  <c r="O58" i="1" s="1"/>
  <c r="L19" i="1"/>
  <c r="L57" i="1" s="1"/>
  <c r="L58" i="1" s="1"/>
  <c r="N19" i="1"/>
  <c r="N57" i="1" s="1"/>
  <c r="N58" i="1" s="1"/>
  <c r="R19" i="1"/>
  <c r="R57" i="1" s="1"/>
  <c r="R58" i="1" s="1"/>
  <c r="I19" i="1"/>
  <c r="I57" i="1" s="1"/>
  <c r="I58" i="1" s="1"/>
  <c r="E16" i="12" l="1"/>
  <c r="F16" i="12"/>
  <c r="E25" i="12"/>
  <c r="H58" i="1"/>
  <c r="C7" i="5"/>
  <c r="C8" i="5" l="1"/>
  <c r="D26" i="12"/>
  <c r="F26" i="12" s="1"/>
</calcChain>
</file>

<file path=xl/sharedStrings.xml><?xml version="1.0" encoding="utf-8"?>
<sst xmlns="http://schemas.openxmlformats.org/spreadsheetml/2006/main" count="522" uniqueCount="318">
  <si>
    <t>GL Code</t>
  </si>
  <si>
    <t>Item</t>
  </si>
  <si>
    <t>Driver</t>
  </si>
  <si>
    <t>Unit</t>
  </si>
  <si>
    <t>Annual Volume/FTE</t>
  </si>
  <si>
    <t>Rate ($)</t>
  </si>
  <si>
    <t>Annual Budget ($)</t>
  </si>
  <si>
    <t>Revenue</t>
  </si>
  <si>
    <t>ACL Reconstruction</t>
  </si>
  <si>
    <t>Total Knee Replacement</t>
  </si>
  <si>
    <t>Total Hip Replacement</t>
  </si>
  <si>
    <t>Arthroscopy (Other)</t>
  </si>
  <si>
    <t>Rotator Cuff Repair</t>
  </si>
  <si>
    <t>Fracture Repair</t>
  </si>
  <si>
    <t>Carpal Tunnel Release</t>
  </si>
  <si>
    <t>Meniscus Repair</t>
  </si>
  <si>
    <t>Clinical Visits</t>
  </si>
  <si>
    <t>Imaging Ancillary (X-ray/US/MRI)</t>
  </si>
  <si>
    <t>Other (Injuctions, DME, etc.)</t>
  </si>
  <si>
    <t>Salaries</t>
  </si>
  <si>
    <t>Overtime &amp; Call Pay</t>
  </si>
  <si>
    <t>Agency / Contract Labor</t>
  </si>
  <si>
    <t>Employee Benefits</t>
  </si>
  <si>
    <t>Payroll Taxes</t>
  </si>
  <si>
    <t>Financial Analyst</t>
  </si>
  <si>
    <t>Total Revenue</t>
  </si>
  <si>
    <t>Total Salaries</t>
  </si>
  <si>
    <t>Medical Supplies</t>
  </si>
  <si>
    <t>Implants &amp; Prosthetics - Arthroplasty</t>
  </si>
  <si>
    <t>Implants/Disposables - Other Procedures</t>
  </si>
  <si>
    <t>Other Surgical Supplies</t>
  </si>
  <si>
    <t>Clinic Medical Supplies</t>
  </si>
  <si>
    <t>Total Medical Supplies</t>
  </si>
  <si>
    <t>Purchased Services &amp; Overhead</t>
  </si>
  <si>
    <t>Anesthesia Purchased Services</t>
  </si>
  <si>
    <t>Sterile Processing</t>
  </si>
  <si>
    <t>OR/PACU Allocation</t>
  </si>
  <si>
    <t>Inpatient Unit Allocation</t>
  </si>
  <si>
    <t>Facility Overhead (IT, Insurance,etc.)</t>
  </si>
  <si>
    <t>Administrative Overhead Allocation</t>
  </si>
  <si>
    <t>Depreciation Expense</t>
  </si>
  <si>
    <t>Total Purchased Services &amp; Overhead</t>
  </si>
  <si>
    <t>Volume</t>
  </si>
  <si>
    <t>Cases</t>
  </si>
  <si>
    <t>Units</t>
  </si>
  <si>
    <t>Visit</t>
  </si>
  <si>
    <t>FTE</t>
  </si>
  <si>
    <t>Rate</t>
  </si>
  <si>
    <t>% of base</t>
  </si>
  <si>
    <t>Fixed</t>
  </si>
  <si>
    <t>annual $</t>
  </si>
  <si>
    <t>% of wages+OT</t>
  </si>
  <si>
    <t>$/Case</t>
  </si>
  <si>
    <t>$/case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</si>
  <si>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</si>
  <si>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</si>
  <si>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</si>
  <si>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</si>
  <si>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</si>
  <si>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</si>
  <si>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</si>
  <si>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</si>
  <si>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</si>
  <si>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</si>
  <si>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</si>
  <si>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</si>
  <si>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Operating Expense</t>
  </si>
  <si>
    <t>Net Operating Income</t>
  </si>
  <si>
    <t>Operating Margin %</t>
  </si>
  <si>
    <t>Key Cost Drivers</t>
  </si>
  <si>
    <t>Driver/Unit</t>
  </si>
  <si>
    <t>$/Inpatient Case</t>
  </si>
  <si>
    <t>$/Surgical Case</t>
  </si>
  <si>
    <t>Fixed Annual $</t>
  </si>
  <si>
    <t>Annual $</t>
  </si>
  <si>
    <t>Radiology reads</t>
  </si>
  <si>
    <t>Facility overhead</t>
  </si>
  <si>
    <t>Depreciation</t>
  </si>
  <si>
    <t>Administrative Overhead</t>
  </si>
  <si>
    <t>Facility Overhead</t>
  </si>
  <si>
    <t>Radiology Reads</t>
  </si>
  <si>
    <t>OR / PACU Allocation</t>
  </si>
  <si>
    <t>Medical Supplies Cost Drivers</t>
  </si>
  <si>
    <t xml:space="preserve">$/Case </t>
  </si>
  <si>
    <t>$/Visit</t>
  </si>
  <si>
    <t>Clinic supplies</t>
  </si>
  <si>
    <t>Clinic Supplies</t>
  </si>
  <si>
    <t>Other Procedure Implants/Disposables</t>
  </si>
  <si>
    <t>Arthroplasty Implants (TKR+THR)</t>
  </si>
  <si>
    <t>Labor &amp; Add-ons</t>
  </si>
  <si>
    <t>Agency/Contract Labor</t>
  </si>
  <si>
    <t>% of Wages + OT</t>
  </si>
  <si>
    <t>Cost Assumptions</t>
  </si>
  <si>
    <t>Revenue Assumptions</t>
  </si>
  <si>
    <t>Service</t>
  </si>
  <si>
    <t>Annual Volume</t>
  </si>
  <si>
    <t>Net-To-Gross%</t>
  </si>
  <si>
    <t>Total Net Revenue</t>
  </si>
  <si>
    <t>Net Revenue/Unit ($)</t>
  </si>
  <si>
    <t>Totals for Surgical Services</t>
  </si>
  <si>
    <t>Totals For Clinic &amp; Ancillary Services</t>
  </si>
  <si>
    <t>Staffing Assumptions</t>
  </si>
  <si>
    <t>Physicians (Surgeons)</t>
  </si>
  <si>
    <t>APPs (NP/PA)</t>
  </si>
  <si>
    <t>Nursing (OR + Clinic)</t>
  </si>
  <si>
    <t>Billing/Coding</t>
  </si>
  <si>
    <t>Manager</t>
  </si>
  <si>
    <t>Annual Salary/FTE ($)</t>
  </si>
  <si>
    <t>Total Base Salary ($)</t>
  </si>
  <si>
    <t>Position</t>
  </si>
  <si>
    <t>Totals For Staffing Assumptions</t>
  </si>
  <si>
    <t>Payor Mix &amp; Yield Assumptions</t>
  </si>
  <si>
    <t>Payor</t>
  </si>
  <si>
    <t>Mix %</t>
  </si>
  <si>
    <t>Net-ToGross%</t>
  </si>
  <si>
    <t>Weighted NTG</t>
  </si>
  <si>
    <t>Medicare</t>
  </si>
  <si>
    <t>Medicaid</t>
  </si>
  <si>
    <t>Private Insurance</t>
  </si>
  <si>
    <t>Self-Pay</t>
  </si>
  <si>
    <t>Total</t>
  </si>
  <si>
    <t>Blended NTG</t>
  </si>
  <si>
    <t>Surgical Revenue By Payor (Charges-Based)</t>
  </si>
  <si>
    <t>Total Surgical Gross Charges ($)</t>
  </si>
  <si>
    <t>Total Surgical Net Revenue ($)</t>
  </si>
  <si>
    <t>Implied Surgical NTG %</t>
  </si>
  <si>
    <t>Gross Charges ($)</t>
  </si>
  <si>
    <t>Net-ToGross %</t>
  </si>
  <si>
    <t>Net Revenue ($)</t>
  </si>
  <si>
    <t>Notes / Examples</t>
  </si>
  <si>
    <t>Surgical revenue - inpatient</t>
  </si>
  <si>
    <t>DRG / inpatient cases (TKR/THR/fracture)</t>
  </si>
  <si>
    <t>Surgical revenue - outpatient</t>
  </si>
  <si>
    <t>Arthroscopy, ACL, carpal tunnel, etc.</t>
  </si>
  <si>
    <t>Clinic revenue</t>
  </si>
  <si>
    <t>E/M visits, follow-ups</t>
  </si>
  <si>
    <t>Ancillary revenue</t>
  </si>
  <si>
    <t>X-ray, ultrasound</t>
  </si>
  <si>
    <t>Other patient revenue</t>
  </si>
  <si>
    <t>DME, injections</t>
  </si>
  <si>
    <t>Physician salaries</t>
  </si>
  <si>
    <t>Surgeons and medical directors</t>
  </si>
  <si>
    <t>APP salaries</t>
  </si>
  <si>
    <t>NP/PA</t>
  </si>
  <si>
    <t>Nursing salaries</t>
  </si>
  <si>
    <t>OR, PACU, clinic RNs</t>
  </si>
  <si>
    <t>Support staff salaries</t>
  </si>
  <si>
    <t>Techs, MAs, schedulers, cast techs</t>
  </si>
  <si>
    <t>Overtime &amp; call pay</t>
  </si>
  <si>
    <t>OR call, weekend coverage</t>
  </si>
  <si>
    <t>Agency/contract labor</t>
  </si>
  <si>
    <t>Travel nurses, temp staffing</t>
  </si>
  <si>
    <t>Benefits</t>
  </si>
  <si>
    <t>Health, retirement, etc.</t>
  </si>
  <si>
    <t>Payroll taxes</t>
  </si>
  <si>
    <t>FICA, unemployment, etc.</t>
  </si>
  <si>
    <t>Implants/prosthetics</t>
  </si>
  <si>
    <t>Knee/hip systems</t>
  </si>
  <si>
    <t>Surgical disposables</t>
  </si>
  <si>
    <t>Sutures, drapes, disposables</t>
  </si>
  <si>
    <t>Pharmacy</t>
  </si>
  <si>
    <t>Pain meds, antibiotics (if departmental)</t>
  </si>
  <si>
    <t>Injection supplies, casting materials</t>
  </si>
  <si>
    <t>Anesthesia services</t>
  </si>
  <si>
    <t>Purchased/allocated costs</t>
  </si>
  <si>
    <t>Sterile processing</t>
  </si>
  <si>
    <t>Instrument reprocessing</t>
  </si>
  <si>
    <t>Contract interpretation</t>
  </si>
  <si>
    <t>OR/PACU overhead allocation</t>
  </si>
  <si>
    <t>Room time, staffing, recovery</t>
  </si>
  <si>
    <t>Inpatient unit overhead allocation</t>
  </si>
  <si>
    <t>Room &amp; board, floor nursing</t>
  </si>
  <si>
    <t>Occupancy, IT, utilities, insurance</t>
  </si>
  <si>
    <t>Admin overhead</t>
  </si>
  <si>
    <t>Finance/HR/legal allocations</t>
  </si>
  <si>
    <t>Capital equipment depreciation</t>
  </si>
  <si>
    <t>Bad debt &amp; charity</t>
  </si>
  <si>
    <t>Uncompensated care (if included)</t>
  </si>
  <si>
    <t>Detail Catalog</t>
  </si>
  <si>
    <t>Avg Charge/Unit ($)</t>
  </si>
  <si>
    <t>Patient Technician</t>
  </si>
  <si>
    <t>Medical Assistant</t>
  </si>
  <si>
    <t>Front Desk</t>
  </si>
  <si>
    <t>% of Base</t>
  </si>
  <si>
    <t>Rate ($)/%</t>
  </si>
  <si>
    <t>Total Surgical Cases</t>
  </si>
  <si>
    <t>Inpatient Cases (TKR+THR+Fracture)</t>
  </si>
  <si>
    <t>Arthroplasty Cases (TKR+THR)</t>
  </si>
  <si>
    <t>Key Volume Line</t>
  </si>
  <si>
    <t>Baseline Totals From Budget</t>
  </si>
  <si>
    <t>Total Operating Expenses</t>
  </si>
  <si>
    <t>Surgical Procedures</t>
  </si>
  <si>
    <t>Values</t>
  </si>
  <si>
    <t>Net Rev/Case</t>
  </si>
  <si>
    <t>Net Rev</t>
  </si>
  <si>
    <t>Implants/Case</t>
  </si>
  <si>
    <t>Supplies/Case</t>
  </si>
  <si>
    <t>Purchased Services/Case</t>
  </si>
  <si>
    <t>Direct Variable Cost/Case</t>
  </si>
  <si>
    <t>Total Variable Cost</t>
  </si>
  <si>
    <t>CM % Before Facility Alloc</t>
  </si>
  <si>
    <t>Faccility Alloc/Case</t>
  </si>
  <si>
    <t>CM After Alloc</t>
  </si>
  <si>
    <t>CM $</t>
  </si>
  <si>
    <t>Fully-Loaded Margin</t>
  </si>
  <si>
    <t>Arthroplasty implants (TKR+THR)</t>
  </si>
  <si>
    <t>Other implants/disposables</t>
  </si>
  <si>
    <t>Other surgical supplies</t>
  </si>
  <si>
    <t>Anesthesia purchased services</t>
  </si>
  <si>
    <t>Other purchased services (variable part only)</t>
  </si>
  <si>
    <t>OR / PACU allocation</t>
  </si>
  <si>
    <t>Inpatient unit allocation</t>
  </si>
  <si>
    <t>Component</t>
  </si>
  <si>
    <t>Contribution Margin Ratio</t>
  </si>
  <si>
    <t>Net Revenue</t>
  </si>
  <si>
    <t>Variable Cost Ratio</t>
  </si>
  <si>
    <t>Fixed Cost Ration</t>
  </si>
  <si>
    <t>Fixed Cost $</t>
  </si>
  <si>
    <t>Break-Even Net Revenue</t>
  </si>
  <si>
    <t>Surgical Net Revenue</t>
  </si>
  <si>
    <t>Surgical Variable Cost</t>
  </si>
  <si>
    <t>Net Revenue/Surgical Case</t>
  </si>
  <si>
    <t>Variable Cost/Surgical Revenue</t>
  </si>
  <si>
    <t>CM/Surgical Case</t>
  </si>
  <si>
    <t>Fixed Cost Allocated To Surgery</t>
  </si>
  <si>
    <t>Value</t>
  </si>
  <si>
    <t>Operating Room Capacity</t>
  </si>
  <si>
    <t>Procedure</t>
  </si>
  <si>
    <t>OR Minutes/Case</t>
  </si>
  <si>
    <t>Turnover (min)</t>
  </si>
  <si>
    <t>Total OR Minutes</t>
  </si>
  <si>
    <t>Total OR Hours</t>
  </si>
  <si>
    <t>TOTAL</t>
  </si>
  <si>
    <t>Metric</t>
  </si>
  <si>
    <t>Monthly OR Hours</t>
  </si>
  <si>
    <t>Month</t>
  </si>
  <si>
    <t>Phasing %</t>
  </si>
  <si>
    <t>OR Hours Required</t>
  </si>
  <si>
    <t>OR Hours Available (avg)</t>
  </si>
  <si>
    <t>Utilization</t>
  </si>
  <si>
    <t>Clinic Capacity</t>
  </si>
  <si>
    <t>Physician FTE</t>
  </si>
  <si>
    <t>APP FTE</t>
  </si>
  <si>
    <t>Clinic capacity (visits/year)</t>
  </si>
  <si>
    <t>Capacity utilization</t>
  </si>
  <si>
    <t>Capacity &amp; Productivity Inputs</t>
  </si>
  <si>
    <t>Input</t>
  </si>
  <si>
    <t>Units/Notes</t>
  </si>
  <si>
    <t>OR Block Hours/Week</t>
  </si>
  <si>
    <t>OR Weeks/Year</t>
  </si>
  <si>
    <t>Avg Turnover Time/Case</t>
  </si>
  <si>
    <t>Working Days/Year</t>
  </si>
  <si>
    <t>Hours/week across all ortho blocks</t>
  </si>
  <si>
    <t>Weeks/year</t>
  </si>
  <si>
    <t>Minutes/case</t>
  </si>
  <si>
    <t>Days/year</t>
  </si>
  <si>
    <t xml:space="preserve">Case Time (OR minutes, skin-to-skin) by Procedure </t>
  </si>
  <si>
    <t>Workforce Productivity (FTE, Visits, Cases, $/FTE)</t>
  </si>
  <si>
    <t>Core Volumes &amp; FTE</t>
  </si>
  <si>
    <t>Total surgical cases</t>
  </si>
  <si>
    <t>Productivity Ratios</t>
  </si>
  <si>
    <t>Total net revenue</t>
  </si>
  <si>
    <t>Net revenue per surgeon FTE</t>
  </si>
  <si>
    <t>Net revenue per provider FTE (MD+APP)</t>
  </si>
  <si>
    <t>Total salaries &amp; benefits</t>
  </si>
  <si>
    <t>Salaries &amp; benefits per surgical case</t>
  </si>
  <si>
    <t>Salaries &amp; benefits per clinic visit</t>
  </si>
  <si>
    <t>NOI per surgeon FTE</t>
  </si>
  <si>
    <t>Financial Ratio</t>
  </si>
  <si>
    <t>OR Hours Required (Annual)</t>
  </si>
  <si>
    <t>OR Hours Available (Annual)</t>
  </si>
  <si>
    <t>OR Utilization</t>
  </si>
  <si>
    <t>OR Hours Gap (available - required)</t>
  </si>
  <si>
    <t>Annual Clinic Visits (Assumption)</t>
  </si>
  <si>
    <t>Clinic Sessions/Provider/Year (MD)</t>
  </si>
  <si>
    <t>Clinic Sessions/Provider/Year (APP)</t>
  </si>
  <si>
    <t>Target Clinic Visits/Session</t>
  </si>
  <si>
    <t>Sessions/year</t>
  </si>
  <si>
    <t>Visits/Sessions</t>
  </si>
  <si>
    <t>Total Clinic Visits</t>
  </si>
  <si>
    <t>Total FTEs</t>
  </si>
  <si>
    <t xml:space="preserve"> </t>
  </si>
  <si>
    <t>Clinic Visits/Clinic Session (implied)</t>
  </si>
  <si>
    <t>Break-Even Surgical Cases</t>
  </si>
  <si>
    <t>Content</t>
  </si>
  <si>
    <t>Procedure Margin</t>
  </si>
  <si>
    <t>Capacity</t>
  </si>
  <si>
    <t>Break-Even Analysis</t>
  </si>
  <si>
    <t>Productivity</t>
  </si>
  <si>
    <t>Payor Mix</t>
  </si>
  <si>
    <t>Analysis Input</t>
  </si>
  <si>
    <t>Assumptions</t>
  </si>
  <si>
    <r>
      <t xml:space="preserve">Orthopedics Service Line Budget &amp; Performance Model (HOPD)
</t>
    </r>
    <r>
      <rPr>
        <sz val="14"/>
        <color theme="2" tint="-9.9978637043366805E-2"/>
        <rFont val="Arial"/>
        <family val="2"/>
      </rPr>
      <t>FY2026 | Margin, Capacity, Break-Even, Productivity &amp; Payor Mix</t>
    </r>
  </si>
  <si>
    <t>Clinic visits/APP FTE</t>
  </si>
  <si>
    <t>Clinic Visits/Surgeon FTE</t>
  </si>
  <si>
    <t>Surgical Cases/Surgeon FTE</t>
  </si>
  <si>
    <t>Clinic Visits/Total Provider FTE (MD+APP)</t>
  </si>
  <si>
    <t>OR Hours/Surgeon FTE</t>
  </si>
  <si>
    <t>Variable Costs (From Budget &amp; Assumptions)</t>
  </si>
  <si>
    <t>Break-even Surgical Cases (Weighted Average)</t>
  </si>
  <si>
    <t>Detailed Budget</t>
  </si>
  <si>
    <t>Expenses</t>
  </si>
  <si>
    <t>Net Income (Loss)</t>
  </si>
  <si>
    <t>Net Operating Margin</t>
  </si>
  <si>
    <t>Clinic Visits</t>
  </si>
  <si>
    <t>Surgical Cases</t>
  </si>
  <si>
    <t>Inpatient</t>
  </si>
  <si>
    <t>Outpatient</t>
  </si>
  <si>
    <t>Surgical Revenue</t>
  </si>
  <si>
    <t>Clinic Revenue</t>
  </si>
  <si>
    <t>Purcahsed Services &amp; Overhead</t>
  </si>
  <si>
    <t>Total Expenses</t>
  </si>
  <si>
    <t>Salaries &amp; Benefits</t>
  </si>
  <si>
    <t>∆$</t>
  </si>
  <si>
    <t>FY2025 (Actual)</t>
  </si>
  <si>
    <t>FY2026 (Budget)</t>
  </si>
  <si>
    <t>∆%P</t>
  </si>
  <si>
    <r>
      <t xml:space="preserve">Orthopedics Service Line — Operating Budget Summary
</t>
    </r>
    <r>
      <rPr>
        <sz val="12"/>
        <color theme="2" tint="-9.9978637043366805E-2"/>
        <rFont val="Arial"/>
        <family val="2"/>
      </rPr>
      <t>FY2026 Budget vs FY2025 Actual | $000s (USD)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</si>
</sst>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_(&quot;$&quot;* #,##0_);_(&quot;$&quot;* \(#,##0\);_(&quot;$&quot;* &quot;-&quot;?_);_(@_)"/>
    <numFmt numFmtId="178" formatCode="&quot;$&quot;#,##0,;\(&quot;$&quot;#,##0,\);\-\ 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sz val="12"/>
      <color rgb="FF0062FF"/>
      <name val="Arial"/>
      <family val="2"/>
    </font>
    <font>
      <i/>
      <sz val="11"/>
      <color rgb="FF0062FF"/>
      <name val="Calibri"/>
      <family val="2"/>
    </font>
    <font>
      <b/>
      <sz val="12"/>
      <color rgb="FF0062FF"/>
      <name val="Arial"/>
      <family val="2"/>
    </font>
    <font>
      <sz val="12"/>
      <color theme="0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14"/>
      <color theme="2" tint="-9.9978637043366805E-2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9"/>
      <color theme="1"/>
      <name val="Aptos Narrow"/>
      <scheme val="minor"/>
    </font>
    <font>
      <sz val="12"/>
      <color theme="2" tint="-9.9978637043366805E-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5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164" fontId="2" fillId="3" borderId="0" xfId="2" applyNumberFormat="1" applyFont="1" applyFill="1"/>
    <xf numFmtId="9" fontId="2" fillId="3" borderId="0" xfId="0" applyNumberFormat="1" applyFont="1" applyFill="1"/>
    <xf numFmtId="165" fontId="2" fillId="3" borderId="0" xfId="3" applyNumberFormat="1" applyFont="1" applyFill="1"/>
    <xf numFmtId="164" fontId="6" fillId="3" borderId="0" xfId="2" applyNumberFormat="1" applyFont="1" applyFill="1"/>
    <xf numFmtId="9" fontId="6" fillId="3" borderId="0" xfId="0" applyNumberFormat="1" applyFont="1" applyFill="1"/>
    <xf numFmtId="165" fontId="6" fillId="3" borderId="0" xfId="3" applyNumberFormat="1" applyFont="1" applyFill="1"/>
    <xf numFmtId="0" fontId="6" fillId="3" borderId="0" xfId="0" applyFont="1" applyFill="1"/>
    <xf numFmtId="164" fontId="2" fillId="3" borderId="0" xfId="0" applyNumberFormat="1" applyFont="1" applyFill="1"/>
    <xf numFmtId="9" fontId="6" fillId="3" borderId="0" xfId="3" applyFont="1" applyFill="1"/>
    <xf numFmtId="165" fontId="2" fillId="3" borderId="0" xfId="0" applyNumberFormat="1" applyFont="1" applyFill="1"/>
    <xf numFmtId="44" fontId="2" fillId="3" borderId="0" xfId="0" applyNumberFormat="1" applyFont="1" applyFill="1"/>
    <xf numFmtId="164" fontId="3" fillId="5" borderId="0" xfId="2" applyNumberFormat="1" applyFont="1" applyFill="1"/>
    <xf numFmtId="164" fontId="3" fillId="5" borderId="0" xfId="0" applyNumberFormat="1" applyFont="1" applyFill="1"/>
    <xf numFmtId="166" fontId="3" fillId="3" borderId="0" xfId="1" applyNumberFormat="1" applyFont="1" applyFill="1"/>
    <xf numFmtId="0" fontId="4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8" fillId="0" borderId="0" xfId="3" applyNumberFormat="1" applyFont="1" applyFill="1" applyAlignment="1">
      <alignment horizontal="center" vertical="center"/>
    </xf>
    <xf numFmtId="167" fontId="2" fillId="3" borderId="0" xfId="0" applyNumberFormat="1" applyFont="1" applyFill="1"/>
    <xf numFmtId="167" fontId="3" fillId="3" borderId="0" xfId="0" applyNumberFormat="1" applyFont="1" applyFill="1"/>
    <xf numFmtId="165" fontId="6" fillId="3" borderId="0" xfId="3" applyNumberFormat="1" applyFont="1" applyFill="1" applyAlignment="1">
      <alignment horizontal="right" vertical="center"/>
    </xf>
    <xf numFmtId="164" fontId="6" fillId="3" borderId="0" xfId="0" applyNumberFormat="1" applyFont="1" applyFill="1"/>
    <xf numFmtId="166" fontId="2" fillId="3" borderId="0" xfId="0" applyNumberFormat="1" applyFont="1" applyFill="1"/>
    <xf numFmtId="164" fontId="3" fillId="3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/>
    <xf numFmtId="9" fontId="2" fillId="3" borderId="0" xfId="3" applyFont="1" applyFill="1"/>
    <xf numFmtId="0" fontId="9" fillId="4" borderId="0" xfId="0" applyFont="1" applyFill="1"/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0" fontId="2" fillId="3" borderId="0" xfId="3" applyNumberFormat="1" applyFont="1" applyFill="1"/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66" fontId="2" fillId="3" borderId="0" xfId="1" applyNumberFormat="1" applyFont="1" applyFill="1"/>
    <xf numFmtId="9" fontId="3" fillId="5" borderId="0" xfId="3" applyFont="1" applyFill="1"/>
    <xf numFmtId="165" fontId="3" fillId="5" borderId="0" xfId="0" applyNumberFormat="1" applyFont="1" applyFill="1"/>
    <xf numFmtId="164" fontId="2" fillId="0" borderId="0" xfId="2" applyNumberFormat="1" applyFont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3" fillId="0" borderId="0" xfId="5" applyFont="1"/>
    <xf numFmtId="0" fontId="13" fillId="0" borderId="3" xfId="5" applyFont="1" applyBorder="1"/>
    <xf numFmtId="0" fontId="14" fillId="0" borderId="0" xfId="5" applyFont="1"/>
    <xf numFmtId="0" fontId="2" fillId="0" borderId="0" xfId="5" applyFont="1"/>
    <xf numFmtId="0" fontId="11" fillId="0" borderId="0" xfId="5"/>
    <xf numFmtId="0" fontId="13" fillId="2" borderId="1" xfId="5" applyFont="1" applyFill="1" applyBorder="1" applyAlignment="1">
      <alignment horizontal="center"/>
    </xf>
    <xf numFmtId="0" fontId="13" fillId="2" borderId="7" xfId="5" applyFont="1" applyFill="1" applyBorder="1" applyAlignment="1">
      <alignment horizontal="center"/>
    </xf>
    <xf numFmtId="0" fontId="13" fillId="2" borderId="3" xfId="5" applyFont="1" applyFill="1" applyBorder="1" applyAlignment="1">
      <alignment horizontal="center"/>
    </xf>
    <xf numFmtId="0" fontId="13" fillId="2" borderId="0" xfId="5" applyFont="1" applyFill="1" applyAlignment="1">
      <alignment horizontal="center"/>
    </xf>
    <xf numFmtId="0" fontId="13" fillId="2" borderId="5" xfId="5" applyFont="1" applyFill="1" applyBorder="1" applyAlignment="1">
      <alignment horizontal="center"/>
    </xf>
    <xf numFmtId="0" fontId="13" fillId="2" borderId="8" xfId="5" applyFont="1" applyFill="1" applyBorder="1" applyAlignment="1">
      <alignment horizontal="center"/>
    </xf>
    <xf numFmtId="0" fontId="10" fillId="0" borderId="0" xfId="4" applyProtection="1"/>
    <xf numFmtId="0" fontId="12" fillId="2" borderId="1" xfId="5" applyFont="1" applyFill="1" applyBorder="1" applyAlignment="1">
      <alignment horizontal="left" vertical="center" wrapText="1" indent="12"/>
    </xf>
    <xf numFmtId="0" fontId="12" fillId="2" borderId="7" xfId="5" applyFont="1" applyFill="1" applyBorder="1" applyAlignment="1">
      <alignment horizontal="left" vertical="center" indent="12"/>
    </xf>
    <xf numFmtId="0" fontId="12" fillId="2" borderId="3" xfId="5" applyFont="1" applyFill="1" applyBorder="1" applyAlignment="1">
      <alignment horizontal="left" vertical="center" indent="12"/>
    </xf>
    <xf numFmtId="0" fontId="12" fillId="2" borderId="0" xfId="5" applyFont="1" applyFill="1" applyAlignment="1">
      <alignment horizontal="left" vertical="center" indent="12"/>
    </xf>
    <xf numFmtId="0" fontId="12" fillId="2" borderId="5" xfId="5" applyFont="1" applyFill="1" applyBorder="1" applyAlignment="1">
      <alignment horizontal="left" vertical="center" indent="12"/>
    </xf>
    <xf numFmtId="0" fontId="12" fillId="2" borderId="8" xfId="5" applyFont="1" applyFill="1" applyBorder="1" applyAlignment="1">
      <alignment horizontal="left" vertical="center" indent="12"/>
    </xf>
    <xf numFmtId="0" fontId="18" fillId="0" borderId="0" xfId="5" applyFont="1"/>
    <xf numFmtId="0" fontId="16" fillId="0" borderId="0" xfId="4" applyFont="1" applyBorder="1" applyProtection="1"/>
    <xf numFmtId="0" fontId="16" fillId="0" borderId="0" xfId="4" applyFont="1" applyFill="1" applyBorder="1" applyProtection="1"/>
    <xf numFmtId="0" fontId="16" fillId="0" borderId="0" xfId="4" applyFont="1"/>
    <xf numFmtId="0" fontId="4" fillId="2" borderId="0" xfId="0" applyFont="1" applyFill="1" applyAlignment="1">
      <alignment horizontal="center" vertical="center" wrapText="1"/>
    </xf>
    <xf numFmtId="9" fontId="2" fillId="3" borderId="0" xfId="3" applyFont="1" applyFill="1" applyAlignment="1">
      <alignment horizontal="center"/>
    </xf>
    <xf numFmtId="9" fontId="2" fillId="3" borderId="0" xfId="3" applyFont="1" applyFill="1" applyAlignment="1">
      <alignment horizontal="center" vertical="center"/>
    </xf>
    <xf numFmtId="166" fontId="3" fillId="3" borderId="0" xfId="1" applyNumberFormat="1" applyFont="1" applyFill="1" applyAlignment="1">
      <alignment vertical="center"/>
    </xf>
    <xf numFmtId="0" fontId="9" fillId="7" borderId="0" xfId="0" applyFont="1" applyFill="1"/>
    <xf numFmtId="0" fontId="2" fillId="7" borderId="0" xfId="0" applyFont="1" applyFill="1"/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/>
    <xf numFmtId="164" fontId="2" fillId="3" borderId="0" xfId="2" applyNumberFormat="1" applyFont="1" applyFill="1" applyAlignment="1"/>
    <xf numFmtId="0" fontId="3" fillId="3" borderId="0" xfId="0" applyFont="1" applyFill="1" applyAlignment="1"/>
    <xf numFmtId="164" fontId="3" fillId="3" borderId="0" xfId="2" applyNumberFormat="1" applyFont="1" applyFill="1" applyAlignment="1"/>
    <xf numFmtId="0" fontId="2" fillId="0" borderId="0" xfId="0" applyFont="1" applyAlignment="1"/>
    <xf numFmtId="10" fontId="2" fillId="3" borderId="0" xfId="3" applyNumberFormat="1" applyFont="1" applyFill="1" applyAlignment="1"/>
    <xf numFmtId="164" fontId="2" fillId="3" borderId="0" xfId="0" applyNumberFormat="1" applyFont="1" applyFill="1" applyAlignment="1"/>
    <xf numFmtId="166" fontId="2" fillId="3" borderId="0" xfId="1" applyNumberFormat="1" applyFont="1" applyFill="1" applyAlignment="1"/>
    <xf numFmtId="0" fontId="9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indent="3"/>
    </xf>
    <xf numFmtId="0" fontId="12" fillId="4" borderId="0" xfId="0" applyFont="1" applyFill="1" applyAlignment="1">
      <alignment horizontal="left" vertical="center" indent="2"/>
    </xf>
    <xf numFmtId="0" fontId="12" fillId="4" borderId="0" xfId="0" applyFont="1" applyFill="1" applyAlignment="1">
      <alignment horizontal="left" vertical="center" wrapText="1" indent="2"/>
    </xf>
    <xf numFmtId="10" fontId="3" fillId="3" borderId="0" xfId="3" applyNumberFormat="1" applyFont="1" applyFill="1"/>
    <xf numFmtId="0" fontId="20" fillId="7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166" fontId="2" fillId="3" borderId="0" xfId="1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right" vertical="center"/>
    </xf>
    <xf numFmtId="178" fontId="2" fillId="3" borderId="0" xfId="2" applyNumberFormat="1" applyFont="1" applyFill="1"/>
    <xf numFmtId="178" fontId="2" fillId="3" borderId="0" xfId="2" applyNumberFormat="1" applyFont="1" applyFill="1" applyAlignment="1">
      <alignment horizontal="right" vertical="center"/>
    </xf>
    <xf numFmtId="178" fontId="2" fillId="3" borderId="0" xfId="0" applyNumberFormat="1" applyFont="1" applyFill="1"/>
    <xf numFmtId="178" fontId="2" fillId="3" borderId="0" xfId="0" applyNumberFormat="1" applyFont="1" applyFill="1" applyAlignment="1">
      <alignment horizontal="right" vertical="center"/>
    </xf>
    <xf numFmtId="0" fontId="13" fillId="7" borderId="0" xfId="0" applyFont="1" applyFill="1"/>
    <xf numFmtId="0" fontId="3" fillId="8" borderId="0" xfId="0" applyFont="1" applyFill="1"/>
    <xf numFmtId="178" fontId="3" fillId="8" borderId="9" xfId="0" applyNumberFormat="1" applyFont="1" applyFill="1" applyBorder="1"/>
    <xf numFmtId="178" fontId="3" fillId="8" borderId="9" xfId="0" applyNumberFormat="1" applyFont="1" applyFill="1" applyBorder="1" applyAlignment="1">
      <alignment horizontal="right" vertical="center"/>
    </xf>
    <xf numFmtId="178" fontId="2" fillId="8" borderId="0" xfId="0" applyNumberFormat="1" applyFont="1" applyFill="1"/>
    <xf numFmtId="165" fontId="2" fillId="8" borderId="0" xfId="3" applyNumberFormat="1" applyFont="1" applyFill="1"/>
    <xf numFmtId="178" fontId="3" fillId="8" borderId="9" xfId="2" applyNumberFormat="1" applyFont="1" applyFill="1" applyBorder="1"/>
    <xf numFmtId="178" fontId="3" fillId="8" borderId="9" xfId="2" applyNumberFormat="1" applyFont="1" applyFill="1" applyBorder="1" applyAlignment="1">
      <alignment horizontal="right" vertical="center"/>
    </xf>
    <xf numFmtId="0" fontId="2" fillId="8" borderId="0" xfId="0" applyFont="1" applyFill="1"/>
    <xf numFmtId="178" fontId="3" fillId="8" borderId="0" xfId="2" applyNumberFormat="1" applyFont="1" applyFill="1"/>
    <xf numFmtId="178" fontId="3" fillId="8" borderId="0" xfId="2" applyNumberFormat="1" applyFont="1" applyFill="1" applyAlignment="1">
      <alignment horizontal="right" vertical="center"/>
    </xf>
    <xf numFmtId="10" fontId="3" fillId="8" borderId="0" xfId="3" applyNumberFormat="1" applyFont="1" applyFill="1"/>
    <xf numFmtId="10" fontId="3" fillId="8" borderId="0" xfId="3" applyNumberFormat="1" applyFont="1" applyFill="1" applyAlignment="1">
      <alignment horizontal="right" vertical="center"/>
    </xf>
    <xf numFmtId="164" fontId="3" fillId="8" borderId="0" xfId="0" applyNumberFormat="1" applyFont="1" applyFill="1"/>
    <xf numFmtId="10" fontId="2" fillId="8" borderId="0" xfId="3" applyNumberFormat="1" applyFont="1" applyFill="1"/>
    <xf numFmtId="0" fontId="13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66" fontId="3" fillId="3" borderId="0" xfId="1" applyNumberFormat="1" applyFont="1" applyFill="1" applyAlignment="1">
      <alignment horizontal="center" vertical="center"/>
    </xf>
    <xf numFmtId="166" fontId="6" fillId="3" borderId="0" xfId="1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2" fillId="3" borderId="0" xfId="2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3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0" fontId="2" fillId="3" borderId="0" xfId="3" applyNumberFormat="1" applyFont="1" applyFill="1" applyAlignment="1">
      <alignment horizontal="center"/>
    </xf>
    <xf numFmtId="43" fontId="2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/>
    <xf numFmtId="166" fontId="3" fillId="3" borderId="0" xfId="1" applyNumberFormat="1" applyFont="1" applyFill="1" applyAlignment="1"/>
  </cellXfs>
  <cellStyles count="7">
    <cellStyle name="Comma" xfId="1" builtinId="3"/>
    <cellStyle name="Currency" xfId="2" builtinId="4"/>
    <cellStyle name="Hyperlink" xfId="4" builtinId="8"/>
    <cellStyle name="Hyperlink 2" xfId="6" xr:uid="{C48B3C6D-29B1-034E-A201-9EEC6C3582F4}"/>
    <cellStyle name="Normal" xfId="0" builtinId="0"/>
    <cellStyle name="Normal 2" xfId="5" xr:uid="{858BBC43-EA4F-7249-A1A8-EB1923B7E671}"/>
    <cellStyle name="Percent" xfId="3" builtinId="5"/>
  </cellStyles>
  <dxfs count="0"/>
  <tableStyles count="0" defaultTableStyle="TableStyleMedium2" defaultPivotStyle="PivotStyleLight16"/>
  <colors>
    <mruColors>
      <color rgb="FFB90700"/>
      <color rgb="FF0062FF"/>
      <color rgb="FF009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linkedin.com/in/alali794/" TargetMode="External"/><Relationship Id="rId1" Type="http://schemas.openxmlformats.org/officeDocument/2006/relationships/hyperlink" Target="https://github.com/abalali794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498929</xdr:colOff>
      <xdr:row>1</xdr:row>
      <xdr:rowOff>67733</xdr:rowOff>
    </xdr:from>
    <xdr:to>
      <xdr:col>13</xdr:col>
      <xdr:colOff>183320</xdr:colOff>
      <xdr:row>3</xdr:row>
      <xdr:rowOff>404192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A695C-88D9-2B46-AF7C-6F65719AF131}"/>
            </a:ext>
          </a:extLst>
        </xdr:cNvPr>
        <xdr:cNvSpPr txBox="1"/>
      </xdr:nvSpPr>
      <xdr:spPr>
        <a:xfrm>
          <a:off x="8354786" y="249162"/>
          <a:ext cx="2986391" cy="699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Prepared by </a:t>
          </a:r>
          <a:r>
            <a:rPr lang="en-US" sz="12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Abdulrahman Alali</a:t>
          </a:r>
        </a:p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MHA</a:t>
          </a: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|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Saint Louis University</a:t>
          </a:r>
        </a:p>
        <a:p>
          <a:r>
            <a:rPr lang="en-US" sz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MS Finance 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| Johns Hopkins University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282518</xdr:colOff>
      <xdr:row>26</xdr:row>
      <xdr:rowOff>167551</xdr:rowOff>
    </xdr:from>
    <xdr:to>
      <xdr:col>7</xdr:col>
      <xdr:colOff>290286</xdr:colOff>
      <xdr:row>29</xdr:row>
      <xdr:rowOff>170224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1D46E9-696A-6E45-B9DE-D99172D2D8E3}"/>
            </a:ext>
          </a:extLst>
        </xdr:cNvPr>
        <xdr:cNvSpPr txBox="1"/>
      </xdr:nvSpPr>
      <xdr:spPr>
        <a:xfrm>
          <a:off x="4010875" y="4975408"/>
          <a:ext cx="2484268" cy="546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00" b="0" cap="none" spc="0">
              <a:ln w="0"/>
              <a:solidFill>
                <a:schemeClr val="bg2">
                  <a:lumMod val="9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https://github.com/abalali794</a:t>
          </a:r>
        </a:p>
      </xdr:txBody>
    </xdr:sp>
    <xdr:clientData/>
  </xdr:twoCellAnchor>
  <xdr:twoCellAnchor>
    <xdr:from>
      <xdr:col>1</xdr:col>
      <xdr:colOff>84667</xdr:colOff>
      <xdr:row>26</xdr:row>
      <xdr:rowOff>152403</xdr:rowOff>
    </xdr:from>
    <xdr:to>
      <xdr:col>3</xdr:col>
      <xdr:colOff>299357</xdr:colOff>
      <xdr:row>29</xdr:row>
      <xdr:rowOff>161760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8D78F6-BB6C-7A48-AFFC-5ECF6842A55F}"/>
            </a:ext>
          </a:extLst>
        </xdr:cNvPr>
        <xdr:cNvSpPr txBox="1"/>
      </xdr:nvSpPr>
      <xdr:spPr>
        <a:xfrm>
          <a:off x="311453" y="4960260"/>
          <a:ext cx="2890761" cy="553643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50" b="0" cap="none" spc="0">
              <a:ln w="0">
                <a:noFill/>
              </a:ln>
              <a:solidFill>
                <a:schemeClr val="bg2">
                  <a:lumMod val="9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https://www.linkedin.com/in/alali794/</a:t>
          </a:r>
        </a:p>
      </xdr:txBody>
    </xdr:sp>
    <xdr:clientData/>
  </xdr:twoCellAnchor>
  <xdr:twoCellAnchor editAs="oneCell">
    <xdr:from>
      <xdr:col>0</xdr:col>
      <xdr:colOff>201335</xdr:colOff>
      <xdr:row>26</xdr:row>
      <xdr:rowOff>114969</xdr:rowOff>
    </xdr:from>
    <xdr:to>
      <xdr:col>1</xdr:col>
      <xdr:colOff>594447</xdr:colOff>
      <xdr:row>29</xdr:row>
      <xdr:rowOff>197549</xdr:rowOff>
    </xdr:to>
    <xdr:pic>
      <xdr:nvPicPr>
        <xdr:cNvPr id="6" name="Picture 5" descr="Linkedin Icons - Free Download in SVG, PNG">
          <a:extLst>
            <a:ext uri="{FF2B5EF4-FFF2-40B4-BE49-F238E27FC236}">
              <a16:creationId xmlns:a16="http://schemas.microsoft.com/office/drawing/2014/main" id="{636AC4B1-49C0-6C42-B3BE-33474BC0B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35" y="4915569"/>
          <a:ext cx="621712" cy="615980"/>
        </a:xfrm>
        <a:prstGeom prst="rect">
          <a:avLst/>
        </a:prstGeom>
        <a:noFill/>
        <a:ln>
          <a:noFill/>
        </a:ln>
        <a:effectLst>
          <a:glow rad="123250">
            <a:schemeClr val="bg1">
              <a:alpha val="30197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153214</xdr:colOff>
      <xdr:row>26</xdr:row>
      <xdr:rowOff>115440</xdr:rowOff>
    </xdr:from>
    <xdr:to>
      <xdr:col>4</xdr:col>
      <xdr:colOff>793575</xdr:colOff>
      <xdr:row>29</xdr:row>
      <xdr:rowOff>211667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09AEFB-5AEB-AB46-BEC8-AFFB4036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7014" y="4916040"/>
          <a:ext cx="640361" cy="629627"/>
        </a:xfrm>
        <a:prstGeom prst="rect">
          <a:avLst/>
        </a:prstGeom>
        <a:ln>
          <a:noFill/>
        </a:ln>
        <a:effectLst>
          <a:glow rad="123250">
            <a:schemeClr val="bg1">
              <a:alpha val="30197"/>
            </a:schemeClr>
          </a:glow>
        </a:effectLst>
      </xdr:spPr>
    </xdr:pic>
    <xdr:clientData/>
  </xdr:twoCellAnchor>
  <xdr:twoCellAnchor>
    <xdr:from>
      <xdr:col>10</xdr:col>
      <xdr:colOff>762000</xdr:colOff>
      <xdr:row>27</xdr:row>
      <xdr:rowOff>126999</xdr:rowOff>
    </xdr:from>
    <xdr:to>
      <xdr:col>13</xdr:col>
      <xdr:colOff>448734</xdr:colOff>
      <xdr:row>29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2A0B929-6B29-A545-AA58-5CFD2958DDB0}"/>
            </a:ext>
          </a:extLst>
        </xdr:cNvPr>
        <xdr:cNvSpPr txBox="1"/>
      </xdr:nvSpPr>
      <xdr:spPr>
        <a:xfrm>
          <a:off x="9448800" y="5105399"/>
          <a:ext cx="2163234" cy="313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v1.0 | Last Updated: 28/1/2026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161529</xdr:colOff>
      <xdr:row>1</xdr:row>
      <xdr:rowOff>54429</xdr:rowOff>
    </xdr:from>
    <xdr:to>
      <xdr:col>1</xdr:col>
      <xdr:colOff>500084</xdr:colOff>
      <xdr:row>3</xdr:row>
      <xdr:rowOff>226785</xdr:rowOff>
    </xdr:to>
    <xdr:pic>
      <xdr:nvPicPr>
        <xdr:cNvPr id="9" name="Picture 8" descr="Hospital - Free business icons">
          <a:extLst>
            <a:ext uri="{FF2B5EF4-FFF2-40B4-BE49-F238E27FC236}">
              <a16:creationId xmlns:a16="http://schemas.microsoft.com/office/drawing/2014/main" id="{35D4D819-F146-8782-3CDD-3545262D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29" y="235858"/>
          <a:ext cx="565341" cy="535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6B9E-6F08-9847-942D-4071416D828F}">
  <dimension ref="A1:M35"/>
  <sheetViews>
    <sheetView showGridLines="0" zoomScale="130" zoomScaleNormal="130" workbookViewId="0">
      <selection activeCell="L14" sqref="L14"/>
    </sheetView>
  </sheetViews>
  <sheetFormatPr baseColWidth="10" defaultRowHeight="14" x14ac:dyDescent="0.15"/>
  <cols>
    <col min="1" max="1" width="3" style="69" customWidth="1"/>
    <col min="2" max="2" width="24.33203125" style="69" customWidth="1"/>
    <col min="3" max="16384" width="10.83203125" style="69"/>
  </cols>
  <sheetData>
    <row r="1" spans="1:13" x14ac:dyDescent="0.15">
      <c r="A1" s="81" t="s">
        <v>292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x14ac:dyDescent="0.1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x14ac:dyDescent="0.15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ht="35" customHeight="1" thickBo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x14ac:dyDescent="0.15">
      <c r="A5" s="70"/>
    </row>
    <row r="6" spans="1:13" ht="20" x14ac:dyDescent="0.2">
      <c r="A6" s="70"/>
      <c r="B6" s="87" t="s">
        <v>284</v>
      </c>
    </row>
    <row r="7" spans="1:13" ht="7" customHeight="1" x14ac:dyDescent="0.2">
      <c r="A7" s="70"/>
      <c r="B7" s="71"/>
    </row>
    <row r="8" spans="1:13" ht="16" x14ac:dyDescent="0.2">
      <c r="A8" s="70"/>
      <c r="B8" s="80" t="s">
        <v>300</v>
      </c>
      <c r="C8" s="72"/>
    </row>
    <row r="9" spans="1:13" ht="16" x14ac:dyDescent="0.2">
      <c r="A9" s="70"/>
      <c r="B9" s="88" t="s">
        <v>285</v>
      </c>
      <c r="C9" s="72"/>
    </row>
    <row r="10" spans="1:13" ht="16" x14ac:dyDescent="0.2">
      <c r="A10" s="70"/>
      <c r="B10" s="89" t="s">
        <v>286</v>
      </c>
      <c r="C10" s="72"/>
    </row>
    <row r="11" spans="1:13" ht="16" x14ac:dyDescent="0.2">
      <c r="A11" s="70"/>
      <c r="B11" s="89" t="s">
        <v>287</v>
      </c>
      <c r="C11" s="72"/>
    </row>
    <row r="12" spans="1:13" ht="16" x14ac:dyDescent="0.2">
      <c r="A12" s="70"/>
      <c r="B12" s="89" t="s">
        <v>288</v>
      </c>
      <c r="C12" s="72"/>
      <c r="F12"/>
    </row>
    <row r="13" spans="1:13" ht="16" x14ac:dyDescent="0.2">
      <c r="A13" s="70"/>
      <c r="B13" s="88" t="s">
        <v>289</v>
      </c>
      <c r="C13" s="72"/>
    </row>
    <row r="14" spans="1:13" ht="16" x14ac:dyDescent="0.2">
      <c r="A14" s="70"/>
      <c r="B14" s="88" t="s">
        <v>290</v>
      </c>
      <c r="C14" s="72"/>
    </row>
    <row r="15" spans="1:13" ht="16" x14ac:dyDescent="0.2">
      <c r="A15" s="70"/>
      <c r="B15" s="90" t="s">
        <v>291</v>
      </c>
      <c r="C15" s="72"/>
    </row>
    <row r="16" spans="1:13" ht="16" x14ac:dyDescent="0.2">
      <c r="A16" s="70"/>
      <c r="B16" s="90" t="s">
        <v>178</v>
      </c>
      <c r="C16" s="72"/>
    </row>
    <row r="17" spans="1:13" x14ac:dyDescent="0.15">
      <c r="A17" s="70"/>
    </row>
    <row r="18" spans="1:13" x14ac:dyDescent="0.15">
      <c r="A18" s="70"/>
    </row>
    <row r="19" spans="1:13" x14ac:dyDescent="0.15">
      <c r="A19" s="70"/>
    </row>
    <row r="20" spans="1:13" x14ac:dyDescent="0.15">
      <c r="A20" s="70"/>
    </row>
    <row r="21" spans="1:13" x14ac:dyDescent="0.15">
      <c r="A21" s="70"/>
    </row>
    <row r="22" spans="1:13" x14ac:dyDescent="0.15">
      <c r="A22" s="70"/>
    </row>
    <row r="23" spans="1:13" x14ac:dyDescent="0.15">
      <c r="A23" s="70"/>
    </row>
    <row r="24" spans="1:13" x14ac:dyDescent="0.15">
      <c r="A24" s="70"/>
    </row>
    <row r="25" spans="1:13" ht="6" customHeight="1" thickBot="1" x14ac:dyDescent="0.2">
      <c r="A25" s="70"/>
    </row>
    <row r="26" spans="1:13" ht="1" hidden="1" customHeight="1" thickBot="1" x14ac:dyDescent="0.2">
      <c r="A26" s="70"/>
    </row>
    <row r="27" spans="1:13" x14ac:dyDescent="0.1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28" spans="1:13" x14ac:dyDescent="0.1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</row>
    <row r="29" spans="1:13" x14ac:dyDescent="0.1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</row>
    <row r="30" spans="1:13" ht="27" customHeight="1" thickBot="1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</row>
    <row r="35" spans="2:2" ht="15" x14ac:dyDescent="0.2">
      <c r="B35" s="73"/>
    </row>
  </sheetData>
  <mergeCells count="2">
    <mergeCell ref="A1:M4"/>
    <mergeCell ref="A27:M30"/>
  </mergeCells>
  <hyperlinks>
    <hyperlink ref="B8" location="'Detailed Budget'!A1" display="Detailed Budget" xr:uid="{041B0AB7-0913-5846-9B5B-51A4A27F410B}"/>
    <hyperlink ref="B9" location="'Procedure Margin'!A1" display="Procedure Margin" xr:uid="{1D41A93C-9535-E04D-BE5D-C168B8197B92}"/>
    <hyperlink ref="B10" location="Capacity!A1" display="Capacity" xr:uid="{D201FB15-70B8-3948-A453-35667EDB6A35}"/>
    <hyperlink ref="B11" location="'Break-Even Analysis'!A1" display="Break-Even Analysis" xr:uid="{CA56421B-D085-3D4F-89F7-201CD6699BBC}"/>
    <hyperlink ref="B12" location="Productivity!A1" display="Productivity" xr:uid="{BF01A2C2-075D-4B40-9B92-B28DE4F83428}"/>
    <hyperlink ref="B13" location="'Payor Mix'!A1" display="Payor Mix" xr:uid="{DB0F2977-5370-B048-B6CE-4D8149848B1F}"/>
    <hyperlink ref="B14" location="'Analysis Input'!A1" display="Analysis Input" xr:uid="{1E7C71AF-8E8D-E846-8446-C52E5CCC00E0}"/>
    <hyperlink ref="B15" location="Assumption!A1" display="Assumptions" xr:uid="{EF0DA754-8B8C-0D42-A90D-083BB1F8CB4A}"/>
    <hyperlink ref="B16" location="'Detail Catalog'!A1" display="Detail Catalog" xr:uid="{56B297BF-011D-5D4E-BC44-98FE204B7A6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A460-A0FD-0344-A15D-7FC2C6E72737}">
  <dimension ref="B1:G28"/>
  <sheetViews>
    <sheetView showGridLines="0" zoomScale="120" zoomScaleNormal="120" workbookViewId="0">
      <selection activeCell="I11" sqref="I11"/>
    </sheetView>
  </sheetViews>
  <sheetFormatPr baseColWidth="10" defaultRowHeight="16" x14ac:dyDescent="0.2"/>
  <cols>
    <col min="2" max="2" width="31.33203125" customWidth="1"/>
    <col min="3" max="3" width="17" customWidth="1"/>
    <col min="4" max="4" width="18.33203125" customWidth="1"/>
    <col min="5" max="5" width="16.6640625" customWidth="1"/>
    <col min="7" max="7" width="18.83203125" customWidth="1"/>
  </cols>
  <sheetData>
    <row r="1" spans="2:7" ht="16" customHeight="1" x14ac:dyDescent="0.2">
      <c r="B1" s="113" t="s">
        <v>317</v>
      </c>
      <c r="C1" s="113"/>
      <c r="D1" s="113"/>
      <c r="E1" s="113"/>
      <c r="F1" s="113"/>
    </row>
    <row r="2" spans="2:7" ht="16" customHeight="1" x14ac:dyDescent="0.2">
      <c r="B2" s="113"/>
      <c r="C2" s="113"/>
      <c r="D2" s="113"/>
      <c r="E2" s="113"/>
      <c r="F2" s="113"/>
    </row>
    <row r="3" spans="2:7" ht="16" customHeight="1" x14ac:dyDescent="0.2">
      <c r="B3" s="113"/>
      <c r="C3" s="113"/>
      <c r="D3" s="113"/>
      <c r="E3" s="113"/>
      <c r="F3" s="113"/>
    </row>
    <row r="4" spans="2:7" x14ac:dyDescent="0.2">
      <c r="B4" s="1"/>
      <c r="C4" s="1"/>
      <c r="D4" s="1"/>
      <c r="E4" s="1"/>
      <c r="F4" s="1"/>
    </row>
    <row r="5" spans="2:7" ht="11" customHeight="1" x14ac:dyDescent="0.2">
      <c r="B5" s="1"/>
      <c r="C5" s="1"/>
      <c r="D5" s="1"/>
      <c r="E5" s="1"/>
      <c r="F5" s="1"/>
    </row>
    <row r="6" spans="2:7" ht="27" customHeight="1" x14ac:dyDescent="0.2">
      <c r="B6" s="137"/>
      <c r="C6" s="114" t="s">
        <v>314</v>
      </c>
      <c r="D6" s="114" t="s">
        <v>315</v>
      </c>
      <c r="E6" s="114" t="s">
        <v>313</v>
      </c>
      <c r="F6" s="114" t="s">
        <v>316</v>
      </c>
      <c r="G6" s="112"/>
    </row>
    <row r="7" spans="2:7" x14ac:dyDescent="0.2">
      <c r="B7" s="9" t="s">
        <v>42</v>
      </c>
      <c r="C7" s="8"/>
      <c r="D7" s="8"/>
      <c r="E7" s="8"/>
      <c r="F7" s="8"/>
    </row>
    <row r="8" spans="2:7" x14ac:dyDescent="0.2">
      <c r="B8" s="8" t="s">
        <v>304</v>
      </c>
      <c r="C8" s="61">
        <v>23100</v>
      </c>
      <c r="D8" s="115">
        <f>Assumption!C40</f>
        <v>22000</v>
      </c>
      <c r="E8" s="8"/>
      <c r="F8" s="30">
        <f>(D8-C8)/C8</f>
        <v>-4.7619047619047616E-2</v>
      </c>
    </row>
    <row r="9" spans="2:7" x14ac:dyDescent="0.2">
      <c r="B9" s="8" t="s">
        <v>305</v>
      </c>
      <c r="C9" s="61">
        <v>3350</v>
      </c>
      <c r="D9" s="115">
        <f>Assumption!G11</f>
        <v>3455</v>
      </c>
      <c r="E9" s="8"/>
      <c r="F9" s="30">
        <f t="shared" ref="F9:F23" si="0">(D9-C9)/C9</f>
        <v>3.134328358208955E-2</v>
      </c>
    </row>
    <row r="10" spans="2:7" x14ac:dyDescent="0.2">
      <c r="B10" s="116" t="s">
        <v>306</v>
      </c>
      <c r="C10" s="61">
        <v>922</v>
      </c>
      <c r="D10" s="115">
        <f>Assumption!G12</f>
        <v>975</v>
      </c>
      <c r="E10" s="8"/>
      <c r="F10" s="30">
        <f t="shared" si="0"/>
        <v>5.7483731019522775E-2</v>
      </c>
    </row>
    <row r="11" spans="2:7" x14ac:dyDescent="0.2">
      <c r="B11" s="116" t="s">
        <v>307</v>
      </c>
      <c r="C11" s="61">
        <f>C9-C10</f>
        <v>2428</v>
      </c>
      <c r="D11" s="115">
        <f>D9-D10</f>
        <v>2480</v>
      </c>
      <c r="E11" s="8"/>
      <c r="F11" s="30">
        <f t="shared" si="0"/>
        <v>2.1416803953871501E-2</v>
      </c>
    </row>
    <row r="12" spans="2:7" x14ac:dyDescent="0.2">
      <c r="B12" s="8"/>
      <c r="C12" s="8"/>
      <c r="D12" s="117"/>
      <c r="E12" s="8"/>
      <c r="F12" s="30"/>
    </row>
    <row r="13" spans="2:7" x14ac:dyDescent="0.2">
      <c r="B13" s="9" t="s">
        <v>7</v>
      </c>
      <c r="C13" s="8"/>
      <c r="D13" s="117"/>
      <c r="E13" s="8"/>
      <c r="F13" s="30"/>
    </row>
    <row r="14" spans="2:7" x14ac:dyDescent="0.2">
      <c r="B14" s="8" t="s">
        <v>308</v>
      </c>
      <c r="C14" s="118">
        <v>44688960</v>
      </c>
      <c r="D14" s="119">
        <f>Assumption!G39</f>
        <v>45631399.700000003</v>
      </c>
      <c r="E14" s="120">
        <f>D14-C14</f>
        <v>942439.70000000298</v>
      </c>
      <c r="F14" s="30">
        <f t="shared" si="0"/>
        <v>2.1088870718853223E-2</v>
      </c>
    </row>
    <row r="15" spans="2:7" x14ac:dyDescent="0.2">
      <c r="B15" s="8" t="s">
        <v>309</v>
      </c>
      <c r="C15" s="118">
        <v>8955313</v>
      </c>
      <c r="D15" s="119">
        <f>Assumption!G43</f>
        <v>8790000</v>
      </c>
      <c r="E15" s="120">
        <f t="shared" ref="E15:E16" si="1">D15-C15</f>
        <v>-165313</v>
      </c>
      <c r="F15" s="30">
        <f t="shared" si="0"/>
        <v>-1.8459767961209173E-2</v>
      </c>
    </row>
    <row r="16" spans="2:7" x14ac:dyDescent="0.2">
      <c r="B16" s="123" t="s">
        <v>25</v>
      </c>
      <c r="C16" s="124">
        <f>SUM(C14:C15)</f>
        <v>53644273</v>
      </c>
      <c r="D16" s="125">
        <f>SUM(D14:D15)</f>
        <v>54421399.700000003</v>
      </c>
      <c r="E16" s="126">
        <f t="shared" si="1"/>
        <v>777126.70000000298</v>
      </c>
      <c r="F16" s="127">
        <f t="shared" si="0"/>
        <v>1.4486666638207642E-2</v>
      </c>
    </row>
    <row r="17" spans="2:6" x14ac:dyDescent="0.2">
      <c r="B17" s="9"/>
      <c r="C17" s="120"/>
      <c r="D17" s="121"/>
      <c r="E17" s="120"/>
      <c r="F17" s="30"/>
    </row>
    <row r="18" spans="2:6" x14ac:dyDescent="0.2">
      <c r="B18" s="9" t="s">
        <v>301</v>
      </c>
      <c r="C18" s="120"/>
      <c r="D18" s="121"/>
      <c r="E18" s="120"/>
      <c r="F18" s="30"/>
    </row>
    <row r="19" spans="2:6" x14ac:dyDescent="0.2">
      <c r="B19" s="8" t="s">
        <v>312</v>
      </c>
      <c r="C19" s="118">
        <v>7412258</v>
      </c>
      <c r="D19" s="119">
        <f>'Detailed Budget'!H35</f>
        <v>7608810.9489599997</v>
      </c>
      <c r="E19" s="120">
        <f>(D19-C19)</f>
        <v>196552.94895999972</v>
      </c>
      <c r="F19" s="30">
        <f t="shared" si="0"/>
        <v>2.65172837966514E-2</v>
      </c>
    </row>
    <row r="20" spans="2:6" x14ac:dyDescent="0.2">
      <c r="B20" s="8" t="s">
        <v>27</v>
      </c>
      <c r="C20" s="118">
        <v>9563221</v>
      </c>
      <c r="D20" s="119">
        <f>'Detailed Budget'!H42</f>
        <v>10604175</v>
      </c>
      <c r="E20" s="120">
        <f>(D20-C20)</f>
        <v>1040954</v>
      </c>
      <c r="F20" s="30">
        <f t="shared" si="0"/>
        <v>0.10884972751335559</v>
      </c>
    </row>
    <row r="21" spans="2:6" x14ac:dyDescent="0.2">
      <c r="B21" s="8" t="s">
        <v>310</v>
      </c>
      <c r="C21" s="118">
        <v>34112369</v>
      </c>
      <c r="D21" s="119">
        <f>'Detailed Budget'!H53</f>
        <v>34461650</v>
      </c>
      <c r="E21" s="120">
        <f>(D21-C21)</f>
        <v>349281</v>
      </c>
      <c r="F21" s="30">
        <f t="shared" si="0"/>
        <v>1.0239130562875889E-2</v>
      </c>
    </row>
    <row r="22" spans="2:6" x14ac:dyDescent="0.2">
      <c r="B22" s="8" t="s">
        <v>77</v>
      </c>
      <c r="C22" s="118">
        <v>670000</v>
      </c>
      <c r="D22" s="119">
        <f>'Detailed Budget'!H52</f>
        <v>670000</v>
      </c>
      <c r="E22" s="120">
        <f t="shared" ref="E22" si="2">-(D22-C22)</f>
        <v>0</v>
      </c>
      <c r="F22" s="30">
        <f t="shared" si="0"/>
        <v>0</v>
      </c>
    </row>
    <row r="23" spans="2:6" x14ac:dyDescent="0.2">
      <c r="B23" s="123" t="s">
        <v>311</v>
      </c>
      <c r="C23" s="128">
        <f>SUM(C19:C22)</f>
        <v>51757848</v>
      </c>
      <c r="D23" s="129">
        <f>'Detailed Budget'!H56</f>
        <v>52674635.948959999</v>
      </c>
      <c r="E23" s="126">
        <f>(D23-C23)</f>
        <v>916787.94895999879</v>
      </c>
      <c r="F23" s="127">
        <f t="shared" si="0"/>
        <v>1.7713022940211865E-2</v>
      </c>
    </row>
    <row r="24" spans="2:6" x14ac:dyDescent="0.2">
      <c r="B24" s="8"/>
      <c r="C24" s="120"/>
      <c r="D24" s="121"/>
      <c r="E24" s="120"/>
      <c r="F24" s="30"/>
    </row>
    <row r="25" spans="2:6" x14ac:dyDescent="0.2">
      <c r="B25" s="130" t="s">
        <v>302</v>
      </c>
      <c r="C25" s="131">
        <f>C16-C23</f>
        <v>1886425</v>
      </c>
      <c r="D25" s="132">
        <f>'Detailed Budget'!H57</f>
        <v>1746763.7510400042</v>
      </c>
      <c r="E25" s="126">
        <f>(D25-C25)</f>
        <v>-139661.24895999581</v>
      </c>
      <c r="F25" s="127">
        <f>-(D25-C25)/C25</f>
        <v>7.403488024172486E-2</v>
      </c>
    </row>
    <row r="26" spans="2:6" x14ac:dyDescent="0.2">
      <c r="B26" s="130" t="s">
        <v>303</v>
      </c>
      <c r="C26" s="133">
        <f>C25/C16</f>
        <v>3.516545000059932E-2</v>
      </c>
      <c r="D26" s="134">
        <f>'Detailed Budget'!H58</f>
        <v>3.2097001559480365E-2</v>
      </c>
      <c r="E26" s="135"/>
      <c r="F26" s="136">
        <f>D26-C26</f>
        <v>-3.0684484411189553E-3</v>
      </c>
    </row>
    <row r="27" spans="2:6" x14ac:dyDescent="0.2">
      <c r="B27" s="1"/>
      <c r="C27" s="1"/>
      <c r="D27" s="1"/>
      <c r="E27" s="1"/>
      <c r="F27" s="1"/>
    </row>
    <row r="28" spans="2:6" x14ac:dyDescent="0.2">
      <c r="B28" s="122"/>
      <c r="C28" s="96"/>
      <c r="D28" s="1"/>
      <c r="E28" s="1"/>
      <c r="F28" s="1"/>
    </row>
  </sheetData>
  <mergeCells count="1">
    <mergeCell ref="B1:F3"/>
  </mergeCells>
  <pageMargins left="0.7" right="0.7" top="0.75" bottom="0.75" header="0.3" footer="0.3"/>
  <ignoredErrors>
    <ignoredError sqref="E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A379-CD75-F64E-B707-4628F27F56CC}">
  <dimension ref="A1:U58"/>
  <sheetViews>
    <sheetView showGridLines="0" zoomScale="70" zoomScaleNormal="70" workbookViewId="0">
      <pane ySplit="4" topLeftCell="A5" activePane="bottomLeft" state="frozen"/>
      <selection pane="bottomLeft" activeCell="Q61" sqref="Q61"/>
    </sheetView>
  </sheetViews>
  <sheetFormatPr baseColWidth="10" defaultRowHeight="16" x14ac:dyDescent="0.2"/>
  <cols>
    <col min="1" max="1" width="2.6640625" style="1" customWidth="1"/>
    <col min="2" max="2" width="10.83203125" style="1"/>
    <col min="3" max="3" width="34.1640625" style="1" customWidth="1"/>
    <col min="4" max="4" width="10.83203125" style="1"/>
    <col min="5" max="5" width="15.5" style="1" bestFit="1" customWidth="1"/>
    <col min="6" max="6" width="16.6640625" style="1" customWidth="1"/>
    <col min="7" max="7" width="15.6640625" style="1" bestFit="1" customWidth="1"/>
    <col min="8" max="8" width="22.5" style="1" bestFit="1" customWidth="1"/>
    <col min="9" max="9" width="17" style="1" bestFit="1" customWidth="1"/>
    <col min="10" max="20" width="15.6640625" style="1" bestFit="1" customWidth="1"/>
    <col min="21" max="16384" width="10.83203125" style="1"/>
  </cols>
  <sheetData>
    <row r="1" spans="1:21" s="55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s="55" customForma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s="55" customFormat="1" ht="2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s="56" customFormat="1" ht="23" customHeight="1" x14ac:dyDescent="0.2">
      <c r="A4" s="4"/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184</v>
      </c>
      <c r="H4" s="17" t="s">
        <v>6</v>
      </c>
      <c r="I4" s="18" t="s">
        <v>54</v>
      </c>
      <c r="J4" s="17" t="s">
        <v>55</v>
      </c>
      <c r="K4" s="18" t="s">
        <v>56</v>
      </c>
      <c r="L4" s="17" t="s">
        <v>57</v>
      </c>
      <c r="M4" s="18" t="s">
        <v>58</v>
      </c>
      <c r="N4" s="17" t="s">
        <v>59</v>
      </c>
      <c r="O4" s="18" t="s">
        <v>60</v>
      </c>
      <c r="P4" s="17" t="s">
        <v>61</v>
      </c>
      <c r="Q4" s="18" t="s">
        <v>62</v>
      </c>
      <c r="R4" s="17" t="s">
        <v>63</v>
      </c>
      <c r="S4" s="18" t="s">
        <v>64</v>
      </c>
      <c r="T4" s="18" t="s">
        <v>65</v>
      </c>
    </row>
    <row r="5" spans="1:21" s="56" customFormat="1" ht="16" customHeight="1" x14ac:dyDescent="0.2">
      <c r="A5" s="4"/>
      <c r="B5" s="42"/>
      <c r="C5" s="42"/>
      <c r="D5" s="42"/>
      <c r="E5" s="42"/>
      <c r="F5" s="42"/>
      <c r="G5" s="42"/>
      <c r="H5" s="42"/>
      <c r="I5" s="44">
        <v>7.0000000000000007E-2</v>
      </c>
      <c r="J5" s="44">
        <v>7.1999999999999995E-2</v>
      </c>
      <c r="K5" s="44">
        <v>7.3999999999999996E-2</v>
      </c>
      <c r="L5" s="44">
        <v>7.5999999999999998E-2</v>
      </c>
      <c r="M5" s="44">
        <f>Assumption!J6</f>
        <v>8.5000000000000006E-2</v>
      </c>
      <c r="N5" s="44">
        <v>9.5000000000000001E-2</v>
      </c>
      <c r="O5" s="44">
        <v>9.8000000000000004E-2</v>
      </c>
      <c r="P5" s="44">
        <v>0.1</v>
      </c>
      <c r="Q5" s="44">
        <v>9.6000000000000002E-2</v>
      </c>
      <c r="R5" s="44">
        <f>Assumption!O6</f>
        <v>8.3000000000000004E-2</v>
      </c>
      <c r="S5" s="44">
        <f>Assumption!P6</f>
        <v>8.1000000000000003E-2</v>
      </c>
      <c r="T5" s="44">
        <v>7.0000000000000007E-2</v>
      </c>
      <c r="U5" s="57">
        <f>SUM(I5:T5)</f>
        <v>1</v>
      </c>
    </row>
    <row r="6" spans="1:21" s="55" customFormat="1" x14ac:dyDescent="0.2">
      <c r="A6" s="1"/>
      <c r="B6" s="1"/>
      <c r="C6" s="1"/>
      <c r="D6" s="12"/>
      <c r="E6" s="1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s="55" customFormat="1" ht="23" customHeight="1" x14ac:dyDescent="0.2">
      <c r="A7" s="5"/>
      <c r="B7" s="6" t="s">
        <v>7</v>
      </c>
      <c r="C7" s="2"/>
      <c r="D7" s="13"/>
      <c r="E7" s="1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1" s="55" customFormat="1" x14ac:dyDescent="0.2">
      <c r="A8" s="1"/>
      <c r="B8" s="8">
        <v>4623</v>
      </c>
      <c r="C8" s="11" t="s">
        <v>8</v>
      </c>
      <c r="D8" s="10" t="s">
        <v>42</v>
      </c>
      <c r="E8" s="10" t="s">
        <v>43</v>
      </c>
      <c r="F8" s="60">
        <f>Assumption!C31</f>
        <v>400</v>
      </c>
      <c r="G8" s="31">
        <f>Assumption!D31</f>
        <v>44000</v>
      </c>
      <c r="H8" s="31">
        <f>Assumption!G31</f>
        <v>5572160</v>
      </c>
      <c r="I8" s="45">
        <f>H8*I$5</f>
        <v>390051.2</v>
      </c>
      <c r="J8" s="45">
        <f>$H$8*J$5</f>
        <v>401195.51999999996</v>
      </c>
      <c r="K8" s="45">
        <f t="shared" ref="K8:T8" si="0">$H$8*K$5</f>
        <v>412339.83999999997</v>
      </c>
      <c r="L8" s="45">
        <f t="shared" si="0"/>
        <v>423484.15999999997</v>
      </c>
      <c r="M8" s="45">
        <f t="shared" si="0"/>
        <v>473633.60000000003</v>
      </c>
      <c r="N8" s="45">
        <f t="shared" si="0"/>
        <v>529355.19999999995</v>
      </c>
      <c r="O8" s="45">
        <f t="shared" si="0"/>
        <v>546071.68000000005</v>
      </c>
      <c r="P8" s="45">
        <f t="shared" si="0"/>
        <v>557216</v>
      </c>
      <c r="Q8" s="45">
        <f t="shared" si="0"/>
        <v>534927.35999999999</v>
      </c>
      <c r="R8" s="45">
        <f t="shared" si="0"/>
        <v>462489.28</v>
      </c>
      <c r="S8" s="45">
        <f t="shared" si="0"/>
        <v>451344.96</v>
      </c>
      <c r="T8" s="45">
        <f t="shared" si="0"/>
        <v>390051.2</v>
      </c>
    </row>
    <row r="9" spans="1:21" s="55" customFormat="1" x14ac:dyDescent="0.2">
      <c r="A9" s="1"/>
      <c r="B9" s="8">
        <v>4158</v>
      </c>
      <c r="C9" s="11" t="s">
        <v>9</v>
      </c>
      <c r="D9" s="10" t="s">
        <v>42</v>
      </c>
      <c r="E9" s="10" t="s">
        <v>43</v>
      </c>
      <c r="F9" s="60">
        <f>Assumption!C32</f>
        <v>300</v>
      </c>
      <c r="G9" s="31">
        <f>Assumption!D32</f>
        <v>82000</v>
      </c>
      <c r="H9" s="31">
        <f>Assumption!G32</f>
        <v>7788360</v>
      </c>
      <c r="I9" s="45">
        <f>$H$9*I$5</f>
        <v>545185.20000000007</v>
      </c>
      <c r="J9" s="45">
        <f>$H$9*J$5</f>
        <v>560761.91999999993</v>
      </c>
      <c r="K9" s="45">
        <f t="shared" ref="K9:T9" si="1">$H$9*K$5</f>
        <v>576338.64</v>
      </c>
      <c r="L9" s="45">
        <f t="shared" si="1"/>
        <v>591915.36</v>
      </c>
      <c r="M9" s="45">
        <f t="shared" si="1"/>
        <v>662010.60000000009</v>
      </c>
      <c r="N9" s="45">
        <f t="shared" si="1"/>
        <v>739894.2</v>
      </c>
      <c r="O9" s="45">
        <f t="shared" si="1"/>
        <v>763259.28</v>
      </c>
      <c r="P9" s="45">
        <f t="shared" si="1"/>
        <v>778836</v>
      </c>
      <c r="Q9" s="45">
        <f t="shared" si="1"/>
        <v>747682.56</v>
      </c>
      <c r="R9" s="45">
        <f t="shared" si="1"/>
        <v>646433.88</v>
      </c>
      <c r="S9" s="45">
        <f t="shared" si="1"/>
        <v>630857.16</v>
      </c>
      <c r="T9" s="45">
        <f t="shared" si="1"/>
        <v>545185.20000000007</v>
      </c>
    </row>
    <row r="10" spans="1:21" x14ac:dyDescent="0.2">
      <c r="B10" s="8">
        <v>4789</v>
      </c>
      <c r="C10" s="11" t="s">
        <v>10</v>
      </c>
      <c r="D10" s="10" t="s">
        <v>42</v>
      </c>
      <c r="E10" s="10" t="s">
        <v>43</v>
      </c>
      <c r="F10" s="60">
        <f>Assumption!C33</f>
        <v>350</v>
      </c>
      <c r="G10" s="31">
        <f>Assumption!D33</f>
        <v>86300</v>
      </c>
      <c r="H10" s="31">
        <f>Assumption!G33</f>
        <v>9562903</v>
      </c>
      <c r="I10" s="45">
        <f t="shared" ref="I10:I18" si="2">H10*$I$5</f>
        <v>669403.21000000008</v>
      </c>
      <c r="J10" s="45">
        <f>$H$10*J$5</f>
        <v>688529.01599999995</v>
      </c>
      <c r="K10" s="45">
        <f t="shared" ref="K10:T10" si="3">$H$10*K$5</f>
        <v>707654.82199999993</v>
      </c>
      <c r="L10" s="45">
        <f t="shared" si="3"/>
        <v>726780.62800000003</v>
      </c>
      <c r="M10" s="45">
        <f t="shared" si="3"/>
        <v>812846.755</v>
      </c>
      <c r="N10" s="45">
        <f t="shared" si="3"/>
        <v>908475.78500000003</v>
      </c>
      <c r="O10" s="45">
        <f t="shared" si="3"/>
        <v>937164.49400000006</v>
      </c>
      <c r="P10" s="45">
        <f t="shared" si="3"/>
        <v>956290.3</v>
      </c>
      <c r="Q10" s="45">
        <f t="shared" si="3"/>
        <v>918038.68799999997</v>
      </c>
      <c r="R10" s="45">
        <f t="shared" si="3"/>
        <v>793720.94900000002</v>
      </c>
      <c r="S10" s="45">
        <f t="shared" si="3"/>
        <v>774595.14300000004</v>
      </c>
      <c r="T10" s="45">
        <f t="shared" si="3"/>
        <v>669403.21000000008</v>
      </c>
    </row>
    <row r="11" spans="1:21" x14ac:dyDescent="0.2">
      <c r="B11" s="8">
        <v>4556</v>
      </c>
      <c r="C11" s="11" t="s">
        <v>11</v>
      </c>
      <c r="D11" s="10" t="s">
        <v>42</v>
      </c>
      <c r="E11" s="10" t="s">
        <v>43</v>
      </c>
      <c r="F11" s="60">
        <f>Assumption!C34</f>
        <v>500</v>
      </c>
      <c r="G11" s="31">
        <f>Assumption!D34</f>
        <v>28100</v>
      </c>
      <c r="H11" s="31">
        <f>Assumption!G34</f>
        <v>4448230</v>
      </c>
      <c r="I11" s="45">
        <f t="shared" si="2"/>
        <v>311376.10000000003</v>
      </c>
      <c r="J11" s="45">
        <f>$H$11*J$5</f>
        <v>320272.56</v>
      </c>
      <c r="K11" s="45">
        <f t="shared" ref="K11:T11" si="4">$H$11*K$5</f>
        <v>329169.01999999996</v>
      </c>
      <c r="L11" s="45">
        <f t="shared" si="4"/>
        <v>338065.48</v>
      </c>
      <c r="M11" s="45">
        <f t="shared" si="4"/>
        <v>378099.55000000005</v>
      </c>
      <c r="N11" s="45">
        <f t="shared" si="4"/>
        <v>422581.85</v>
      </c>
      <c r="O11" s="45">
        <f t="shared" si="4"/>
        <v>435926.54000000004</v>
      </c>
      <c r="P11" s="45">
        <f t="shared" si="4"/>
        <v>444823</v>
      </c>
      <c r="Q11" s="45">
        <f t="shared" si="4"/>
        <v>427030.08</v>
      </c>
      <c r="R11" s="45">
        <f t="shared" si="4"/>
        <v>369203.09</v>
      </c>
      <c r="S11" s="45">
        <f t="shared" si="4"/>
        <v>360306.63</v>
      </c>
      <c r="T11" s="45">
        <f t="shared" si="4"/>
        <v>311376.10000000003</v>
      </c>
    </row>
    <row r="12" spans="1:21" x14ac:dyDescent="0.2">
      <c r="B12" s="8">
        <v>4113</v>
      </c>
      <c r="C12" s="11" t="s">
        <v>12</v>
      </c>
      <c r="D12" s="10" t="s">
        <v>42</v>
      </c>
      <c r="E12" s="10" t="s">
        <v>43</v>
      </c>
      <c r="F12" s="60">
        <f>Assumption!C35</f>
        <v>430</v>
      </c>
      <c r="G12" s="31">
        <f>Assumption!D35</f>
        <v>47400</v>
      </c>
      <c r="H12" s="31">
        <f>Assumption!G35</f>
        <v>6452941.2000000002</v>
      </c>
      <c r="I12" s="45">
        <f t="shared" si="2"/>
        <v>451705.88400000008</v>
      </c>
      <c r="J12" s="45">
        <f>$H$12*J$5</f>
        <v>464611.76639999996</v>
      </c>
      <c r="K12" s="45">
        <f t="shared" ref="K12:T12" si="5">$H$12*K$5</f>
        <v>477517.64879999997</v>
      </c>
      <c r="L12" s="45">
        <f t="shared" si="5"/>
        <v>490423.53120000003</v>
      </c>
      <c r="M12" s="45">
        <f t="shared" si="5"/>
        <v>548500.00200000009</v>
      </c>
      <c r="N12" s="45">
        <f t="shared" si="5"/>
        <v>613029.41399999999</v>
      </c>
      <c r="O12" s="45">
        <f t="shared" si="5"/>
        <v>632388.23759999999</v>
      </c>
      <c r="P12" s="45">
        <f t="shared" si="5"/>
        <v>645294.12000000011</v>
      </c>
      <c r="Q12" s="45">
        <f t="shared" si="5"/>
        <v>619482.35519999999</v>
      </c>
      <c r="R12" s="45">
        <f t="shared" si="5"/>
        <v>535594.11960000009</v>
      </c>
      <c r="S12" s="45">
        <f t="shared" si="5"/>
        <v>522688.23720000003</v>
      </c>
      <c r="T12" s="45">
        <f t="shared" si="5"/>
        <v>451705.88400000008</v>
      </c>
    </row>
    <row r="13" spans="1:21" x14ac:dyDescent="0.2">
      <c r="B13" s="8">
        <v>4187</v>
      </c>
      <c r="C13" s="11" t="s">
        <v>13</v>
      </c>
      <c r="D13" s="10" t="s">
        <v>42</v>
      </c>
      <c r="E13" s="10" t="s">
        <v>43</v>
      </c>
      <c r="F13" s="60">
        <f>Assumption!C36</f>
        <v>325</v>
      </c>
      <c r="G13" s="31">
        <f>Assumption!D36</f>
        <v>36900</v>
      </c>
      <c r="H13" s="31">
        <f>Assumption!G36</f>
        <v>3796825.4999999995</v>
      </c>
      <c r="I13" s="45">
        <f t="shared" si="2"/>
        <v>265777.78499999997</v>
      </c>
      <c r="J13" s="45">
        <f>$H$13*J$5</f>
        <v>273371.43599999993</v>
      </c>
      <c r="K13" s="45">
        <f t="shared" ref="K13:T13" si="6">$H$13*K$5</f>
        <v>280965.08699999994</v>
      </c>
      <c r="L13" s="45">
        <f t="shared" si="6"/>
        <v>288558.73799999995</v>
      </c>
      <c r="M13" s="45">
        <f t="shared" si="6"/>
        <v>322730.16749999998</v>
      </c>
      <c r="N13" s="45">
        <f t="shared" si="6"/>
        <v>360698.42249999999</v>
      </c>
      <c r="O13" s="45">
        <f t="shared" si="6"/>
        <v>372088.89899999998</v>
      </c>
      <c r="P13" s="45">
        <f t="shared" si="6"/>
        <v>379682.55</v>
      </c>
      <c r="Q13" s="45">
        <f t="shared" si="6"/>
        <v>364495.24799999996</v>
      </c>
      <c r="R13" s="45">
        <f t="shared" si="6"/>
        <v>315136.51649999997</v>
      </c>
      <c r="S13" s="45">
        <f t="shared" si="6"/>
        <v>307542.86549999996</v>
      </c>
      <c r="T13" s="45">
        <f t="shared" si="6"/>
        <v>265777.78499999997</v>
      </c>
    </row>
    <row r="14" spans="1:21" x14ac:dyDescent="0.2">
      <c r="B14" s="8">
        <v>4465</v>
      </c>
      <c r="C14" s="11" t="s">
        <v>14</v>
      </c>
      <c r="D14" s="10" t="s">
        <v>42</v>
      </c>
      <c r="E14" s="10" t="s">
        <v>43</v>
      </c>
      <c r="F14" s="60">
        <f>Assumption!C37</f>
        <v>700</v>
      </c>
      <c r="G14" s="31">
        <f>Assumption!D37</f>
        <v>17050</v>
      </c>
      <c r="H14" s="31">
        <f>Assumption!G37</f>
        <v>3778621</v>
      </c>
      <c r="I14" s="45">
        <f t="shared" si="2"/>
        <v>264503.47000000003</v>
      </c>
      <c r="J14" s="45">
        <f>$H$14*J$5</f>
        <v>272060.712</v>
      </c>
      <c r="K14" s="45">
        <f t="shared" ref="K14:T14" si="7">$H$14*K$5</f>
        <v>279617.95399999997</v>
      </c>
      <c r="L14" s="45">
        <f t="shared" si="7"/>
        <v>287175.196</v>
      </c>
      <c r="M14" s="45">
        <f t="shared" si="7"/>
        <v>321182.78500000003</v>
      </c>
      <c r="N14" s="45">
        <f t="shared" si="7"/>
        <v>358968.995</v>
      </c>
      <c r="O14" s="45">
        <f t="shared" si="7"/>
        <v>370304.85800000001</v>
      </c>
      <c r="P14" s="45">
        <f t="shared" si="7"/>
        <v>377862.10000000003</v>
      </c>
      <c r="Q14" s="45">
        <f t="shared" si="7"/>
        <v>362747.61599999998</v>
      </c>
      <c r="R14" s="45">
        <f t="shared" si="7"/>
        <v>313625.54300000001</v>
      </c>
      <c r="S14" s="45">
        <f t="shared" si="7"/>
        <v>306068.30100000004</v>
      </c>
      <c r="T14" s="45">
        <f t="shared" si="7"/>
        <v>264503.47000000003</v>
      </c>
    </row>
    <row r="15" spans="1:21" x14ac:dyDescent="0.2">
      <c r="B15" s="8">
        <v>4002</v>
      </c>
      <c r="C15" s="11" t="s">
        <v>15</v>
      </c>
      <c r="D15" s="10" t="s">
        <v>42</v>
      </c>
      <c r="E15" s="10" t="s">
        <v>43</v>
      </c>
      <c r="F15" s="60">
        <f>Assumption!C38</f>
        <v>450</v>
      </c>
      <c r="G15" s="31">
        <f>Assumption!D38</f>
        <v>29700</v>
      </c>
      <c r="H15" s="31">
        <f>Assumption!G38</f>
        <v>4231359</v>
      </c>
      <c r="I15" s="45">
        <f t="shared" si="2"/>
        <v>296195.13</v>
      </c>
      <c r="J15" s="45">
        <f>$H$15*J$5</f>
        <v>304657.848</v>
      </c>
      <c r="K15" s="45">
        <f t="shared" ref="K15:T15" si="8">$H$15*K$5</f>
        <v>313120.56599999999</v>
      </c>
      <c r="L15" s="45">
        <f t="shared" si="8"/>
        <v>321583.28399999999</v>
      </c>
      <c r="M15" s="45">
        <f t="shared" si="8"/>
        <v>359665.51500000001</v>
      </c>
      <c r="N15" s="45">
        <f t="shared" si="8"/>
        <v>401979.10499999998</v>
      </c>
      <c r="O15" s="45">
        <f t="shared" si="8"/>
        <v>414673.18200000003</v>
      </c>
      <c r="P15" s="45">
        <f t="shared" si="8"/>
        <v>423135.9</v>
      </c>
      <c r="Q15" s="45">
        <f t="shared" si="8"/>
        <v>406210.46400000004</v>
      </c>
      <c r="R15" s="45">
        <f t="shared" si="8"/>
        <v>351202.79700000002</v>
      </c>
      <c r="S15" s="45">
        <f t="shared" si="8"/>
        <v>342740.07900000003</v>
      </c>
      <c r="T15" s="45">
        <f t="shared" si="8"/>
        <v>296195.13</v>
      </c>
    </row>
    <row r="16" spans="1:21" x14ac:dyDescent="0.2">
      <c r="B16" s="8">
        <v>4015</v>
      </c>
      <c r="C16" s="11" t="s">
        <v>16</v>
      </c>
      <c r="D16" s="10" t="s">
        <v>42</v>
      </c>
      <c r="E16" s="10" t="s">
        <v>45</v>
      </c>
      <c r="F16" s="60">
        <f>Assumption!C40</f>
        <v>22000</v>
      </c>
      <c r="G16" s="31">
        <f>Assumption!F40</f>
        <v>300</v>
      </c>
      <c r="H16" s="31">
        <f>Assumption!G40</f>
        <v>6600000</v>
      </c>
      <c r="I16" s="45">
        <f t="shared" si="2"/>
        <v>462000.00000000006</v>
      </c>
      <c r="J16" s="45">
        <f>$H$16*J$5</f>
        <v>475199.99999999994</v>
      </c>
      <c r="K16" s="45">
        <f t="shared" ref="K16:T16" si="9">$H$16*K$5</f>
        <v>488400</v>
      </c>
      <c r="L16" s="45">
        <f t="shared" si="9"/>
        <v>501600</v>
      </c>
      <c r="M16" s="45">
        <f t="shared" si="9"/>
        <v>561000</v>
      </c>
      <c r="N16" s="45">
        <f t="shared" si="9"/>
        <v>627000</v>
      </c>
      <c r="O16" s="45">
        <f t="shared" si="9"/>
        <v>646800</v>
      </c>
      <c r="P16" s="45">
        <f t="shared" si="9"/>
        <v>660000</v>
      </c>
      <c r="Q16" s="45">
        <f t="shared" si="9"/>
        <v>633600</v>
      </c>
      <c r="R16" s="45">
        <f t="shared" si="9"/>
        <v>547800</v>
      </c>
      <c r="S16" s="45">
        <f t="shared" si="9"/>
        <v>534600</v>
      </c>
      <c r="T16" s="45">
        <f t="shared" si="9"/>
        <v>462000.00000000006</v>
      </c>
    </row>
    <row r="17" spans="2:20" x14ac:dyDescent="0.2">
      <c r="B17" s="8">
        <v>4922</v>
      </c>
      <c r="C17" s="11" t="s">
        <v>17</v>
      </c>
      <c r="D17" s="10" t="s">
        <v>42</v>
      </c>
      <c r="E17" s="10" t="s">
        <v>44</v>
      </c>
      <c r="F17" s="60">
        <f>Assumption!C41</f>
        <v>8000</v>
      </c>
      <c r="G17" s="31">
        <f>Assumption!F41</f>
        <v>150</v>
      </c>
      <c r="H17" s="31">
        <f>Assumption!G41</f>
        <v>1200000</v>
      </c>
      <c r="I17" s="45">
        <f t="shared" si="2"/>
        <v>84000.000000000015</v>
      </c>
      <c r="J17" s="45">
        <f>$H$17*J$5</f>
        <v>86400</v>
      </c>
      <c r="K17" s="45">
        <f t="shared" ref="K17:T17" si="10">$H$17*K$5</f>
        <v>88800</v>
      </c>
      <c r="L17" s="45">
        <f t="shared" si="10"/>
        <v>91200</v>
      </c>
      <c r="M17" s="45">
        <f t="shared" si="10"/>
        <v>102000.00000000001</v>
      </c>
      <c r="N17" s="45">
        <f t="shared" si="10"/>
        <v>114000</v>
      </c>
      <c r="O17" s="45">
        <f t="shared" si="10"/>
        <v>117600</v>
      </c>
      <c r="P17" s="45">
        <f t="shared" si="10"/>
        <v>120000</v>
      </c>
      <c r="Q17" s="45">
        <f t="shared" si="10"/>
        <v>115200</v>
      </c>
      <c r="R17" s="45">
        <f t="shared" si="10"/>
        <v>99600</v>
      </c>
      <c r="S17" s="45">
        <f t="shared" si="10"/>
        <v>97200</v>
      </c>
      <c r="T17" s="45">
        <f t="shared" si="10"/>
        <v>84000.000000000015</v>
      </c>
    </row>
    <row r="18" spans="2:20" x14ac:dyDescent="0.2">
      <c r="B18" s="8">
        <v>4000</v>
      </c>
      <c r="C18" s="11" t="s">
        <v>18</v>
      </c>
      <c r="D18" s="10" t="s">
        <v>42</v>
      </c>
      <c r="E18" s="10" t="s">
        <v>44</v>
      </c>
      <c r="F18" s="60">
        <f>Assumption!C42</f>
        <v>4500</v>
      </c>
      <c r="G18" s="31">
        <f>Assumption!F42</f>
        <v>220</v>
      </c>
      <c r="H18" s="31">
        <f>Assumption!G42</f>
        <v>990000</v>
      </c>
      <c r="I18" s="45">
        <f t="shared" si="2"/>
        <v>69300</v>
      </c>
      <c r="J18" s="45">
        <f>$H$18*J$5</f>
        <v>71280</v>
      </c>
      <c r="K18" s="45">
        <f t="shared" ref="K18:T18" si="11">$H$18*K$5</f>
        <v>73260</v>
      </c>
      <c r="L18" s="45">
        <f t="shared" si="11"/>
        <v>75240</v>
      </c>
      <c r="M18" s="45">
        <f t="shared" si="11"/>
        <v>84150</v>
      </c>
      <c r="N18" s="45">
        <f t="shared" si="11"/>
        <v>94050</v>
      </c>
      <c r="O18" s="45">
        <f t="shared" si="11"/>
        <v>97020</v>
      </c>
      <c r="P18" s="45">
        <f t="shared" si="11"/>
        <v>99000</v>
      </c>
      <c r="Q18" s="45">
        <f t="shared" si="11"/>
        <v>95040</v>
      </c>
      <c r="R18" s="45">
        <f t="shared" si="11"/>
        <v>82170</v>
      </c>
      <c r="S18" s="45">
        <f t="shared" si="11"/>
        <v>80190</v>
      </c>
      <c r="T18" s="45">
        <f t="shared" si="11"/>
        <v>69300</v>
      </c>
    </row>
    <row r="19" spans="2:20" x14ac:dyDescent="0.2">
      <c r="B19" s="8"/>
      <c r="C19" s="14" t="s">
        <v>25</v>
      </c>
      <c r="D19" s="10"/>
      <c r="E19" s="10"/>
      <c r="F19" s="94">
        <f>SUM(F8:F18)</f>
        <v>37955</v>
      </c>
      <c r="G19" s="8"/>
      <c r="H19" s="50">
        <f>SUM(H8:H18)</f>
        <v>54421399.700000003</v>
      </c>
      <c r="I19" s="46">
        <f>SUM(I8:I18)</f>
        <v>3809497.9790000007</v>
      </c>
      <c r="J19" s="46">
        <f t="shared" ref="J19:T19" si="12">SUM(J8:J18)</f>
        <v>3918340.7783999993</v>
      </c>
      <c r="K19" s="46">
        <f t="shared" si="12"/>
        <v>4027183.5777999996</v>
      </c>
      <c r="L19" s="46">
        <f t="shared" si="12"/>
        <v>4136026.3772</v>
      </c>
      <c r="M19" s="46">
        <f t="shared" si="12"/>
        <v>4625818.9745000005</v>
      </c>
      <c r="N19" s="46">
        <f t="shared" si="12"/>
        <v>5170032.9715</v>
      </c>
      <c r="O19" s="46">
        <f t="shared" si="12"/>
        <v>5333297.1705999998</v>
      </c>
      <c r="P19" s="46">
        <f t="shared" si="12"/>
        <v>5442139.9699999997</v>
      </c>
      <c r="Q19" s="46">
        <f t="shared" si="12"/>
        <v>5224454.3711999999</v>
      </c>
      <c r="R19" s="46">
        <f t="shared" si="12"/>
        <v>4516976.1750999996</v>
      </c>
      <c r="S19" s="46">
        <f t="shared" si="12"/>
        <v>4408133.3756999997</v>
      </c>
      <c r="T19" s="46">
        <f t="shared" si="12"/>
        <v>3809497.9790000007</v>
      </c>
    </row>
    <row r="20" spans="2:20" x14ac:dyDescent="0.2">
      <c r="C20" s="15"/>
      <c r="D20" s="12"/>
      <c r="E20" s="12"/>
      <c r="F20" s="12"/>
    </row>
    <row r="21" spans="2:20" ht="22" customHeight="1" x14ac:dyDescent="0.2">
      <c r="B21" s="7" t="s">
        <v>19</v>
      </c>
      <c r="C21" s="16"/>
      <c r="D21" s="13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x14ac:dyDescent="0.2">
      <c r="B22" s="8">
        <v>5100</v>
      </c>
      <c r="C22" s="8" t="s">
        <v>102</v>
      </c>
      <c r="D22" s="10" t="s">
        <v>46</v>
      </c>
      <c r="E22" s="10" t="s">
        <v>46</v>
      </c>
      <c r="F22" s="60">
        <f>Assumption!C49</f>
        <v>6</v>
      </c>
      <c r="G22" s="31">
        <f>Assumption!D49</f>
        <v>375000</v>
      </c>
      <c r="H22" s="31">
        <f>Assumption!E49</f>
        <v>2250000</v>
      </c>
      <c r="I22" s="35">
        <f>$H$22/12</f>
        <v>187500</v>
      </c>
      <c r="J22" s="35">
        <f t="shared" ref="J22:T22" si="13">$H$22/12</f>
        <v>187500</v>
      </c>
      <c r="K22" s="35">
        <f t="shared" si="13"/>
        <v>187500</v>
      </c>
      <c r="L22" s="35">
        <f t="shared" si="13"/>
        <v>187500</v>
      </c>
      <c r="M22" s="35">
        <f t="shared" si="13"/>
        <v>187500</v>
      </c>
      <c r="N22" s="35">
        <f t="shared" si="13"/>
        <v>187500</v>
      </c>
      <c r="O22" s="35">
        <f t="shared" si="13"/>
        <v>187500</v>
      </c>
      <c r="P22" s="35">
        <f t="shared" si="13"/>
        <v>187500</v>
      </c>
      <c r="Q22" s="35">
        <f t="shared" si="13"/>
        <v>187500</v>
      </c>
      <c r="R22" s="35">
        <f t="shared" si="13"/>
        <v>187500</v>
      </c>
      <c r="S22" s="35">
        <f t="shared" si="13"/>
        <v>187500</v>
      </c>
      <c r="T22" s="35">
        <f t="shared" si="13"/>
        <v>187500</v>
      </c>
    </row>
    <row r="23" spans="2:20" x14ac:dyDescent="0.2">
      <c r="B23" s="8">
        <v>5011</v>
      </c>
      <c r="C23" s="8" t="s">
        <v>103</v>
      </c>
      <c r="D23" s="10" t="s">
        <v>46</v>
      </c>
      <c r="E23" s="10" t="s">
        <v>46</v>
      </c>
      <c r="F23" s="60">
        <f>Assumption!C50</f>
        <v>4</v>
      </c>
      <c r="G23" s="31">
        <f>Assumption!D50</f>
        <v>140236</v>
      </c>
      <c r="H23" s="31">
        <f>Assumption!E50</f>
        <v>560944</v>
      </c>
      <c r="I23" s="35">
        <f>$H$23/12</f>
        <v>46745.333333333336</v>
      </c>
      <c r="J23" s="35">
        <f t="shared" ref="J23:T23" si="14">$H$23/12</f>
        <v>46745.333333333336</v>
      </c>
      <c r="K23" s="35">
        <f t="shared" si="14"/>
        <v>46745.333333333336</v>
      </c>
      <c r="L23" s="35">
        <f t="shared" si="14"/>
        <v>46745.333333333336</v>
      </c>
      <c r="M23" s="35">
        <f t="shared" si="14"/>
        <v>46745.333333333336</v>
      </c>
      <c r="N23" s="35">
        <f t="shared" si="14"/>
        <v>46745.333333333336</v>
      </c>
      <c r="O23" s="35">
        <f t="shared" si="14"/>
        <v>46745.333333333336</v>
      </c>
      <c r="P23" s="35">
        <f t="shared" si="14"/>
        <v>46745.333333333336</v>
      </c>
      <c r="Q23" s="35">
        <f t="shared" si="14"/>
        <v>46745.333333333336</v>
      </c>
      <c r="R23" s="35">
        <f t="shared" si="14"/>
        <v>46745.333333333336</v>
      </c>
      <c r="S23" s="35">
        <f t="shared" si="14"/>
        <v>46745.333333333336</v>
      </c>
      <c r="T23" s="35">
        <f t="shared" si="14"/>
        <v>46745.333333333336</v>
      </c>
    </row>
    <row r="24" spans="2:20" x14ac:dyDescent="0.2">
      <c r="B24" s="8">
        <v>5034</v>
      </c>
      <c r="C24" s="8" t="s">
        <v>104</v>
      </c>
      <c r="D24" s="10" t="s">
        <v>46</v>
      </c>
      <c r="E24" s="10" t="s">
        <v>46</v>
      </c>
      <c r="F24" s="60">
        <f>Assumption!C51</f>
        <v>16</v>
      </c>
      <c r="G24" s="31">
        <f>Assumption!D51</f>
        <v>85411</v>
      </c>
      <c r="H24" s="31">
        <f>Assumption!E51</f>
        <v>1366576</v>
      </c>
      <c r="I24" s="35">
        <f>$H$24/12</f>
        <v>113881.33333333333</v>
      </c>
      <c r="J24" s="35">
        <f t="shared" ref="J24:T24" si="15">$H$24/12</f>
        <v>113881.33333333333</v>
      </c>
      <c r="K24" s="35">
        <f t="shared" si="15"/>
        <v>113881.33333333333</v>
      </c>
      <c r="L24" s="35">
        <f t="shared" si="15"/>
        <v>113881.33333333333</v>
      </c>
      <c r="M24" s="35">
        <f t="shared" si="15"/>
        <v>113881.33333333333</v>
      </c>
      <c r="N24" s="35">
        <f t="shared" si="15"/>
        <v>113881.33333333333</v>
      </c>
      <c r="O24" s="35">
        <f t="shared" si="15"/>
        <v>113881.33333333333</v>
      </c>
      <c r="P24" s="35">
        <f t="shared" si="15"/>
        <v>113881.33333333333</v>
      </c>
      <c r="Q24" s="35">
        <f t="shared" si="15"/>
        <v>113881.33333333333</v>
      </c>
      <c r="R24" s="35">
        <f t="shared" si="15"/>
        <v>113881.33333333333</v>
      </c>
      <c r="S24" s="35">
        <f t="shared" si="15"/>
        <v>113881.33333333333</v>
      </c>
      <c r="T24" s="35">
        <f t="shared" si="15"/>
        <v>113881.33333333333</v>
      </c>
    </row>
    <row r="25" spans="2:20" x14ac:dyDescent="0.2">
      <c r="B25" s="8">
        <v>5311</v>
      </c>
      <c r="C25" s="8" t="s">
        <v>180</v>
      </c>
      <c r="D25" s="10" t="s">
        <v>46</v>
      </c>
      <c r="E25" s="10" t="s">
        <v>46</v>
      </c>
      <c r="F25" s="60">
        <f>Assumption!C52</f>
        <v>5</v>
      </c>
      <c r="G25" s="31">
        <f>Assumption!D52</f>
        <v>55269</v>
      </c>
      <c r="H25" s="31">
        <f>Assumption!E52</f>
        <v>276345</v>
      </c>
      <c r="I25" s="35">
        <f>$H$25/12</f>
        <v>23028.75</v>
      </c>
      <c r="J25" s="35">
        <f t="shared" ref="J25:T25" si="16">$H$25/12</f>
        <v>23028.75</v>
      </c>
      <c r="K25" s="35">
        <f t="shared" si="16"/>
        <v>23028.75</v>
      </c>
      <c r="L25" s="35">
        <f t="shared" si="16"/>
        <v>23028.75</v>
      </c>
      <c r="M25" s="35">
        <f t="shared" si="16"/>
        <v>23028.75</v>
      </c>
      <c r="N25" s="35">
        <f t="shared" si="16"/>
        <v>23028.75</v>
      </c>
      <c r="O25" s="35">
        <f t="shared" si="16"/>
        <v>23028.75</v>
      </c>
      <c r="P25" s="35">
        <f t="shared" si="16"/>
        <v>23028.75</v>
      </c>
      <c r="Q25" s="35">
        <f t="shared" si="16"/>
        <v>23028.75</v>
      </c>
      <c r="R25" s="35">
        <f t="shared" si="16"/>
        <v>23028.75</v>
      </c>
      <c r="S25" s="35">
        <f t="shared" si="16"/>
        <v>23028.75</v>
      </c>
      <c r="T25" s="35">
        <f t="shared" si="16"/>
        <v>23028.75</v>
      </c>
    </row>
    <row r="26" spans="2:20" x14ac:dyDescent="0.2">
      <c r="B26" s="8">
        <v>5266</v>
      </c>
      <c r="C26" s="8" t="s">
        <v>181</v>
      </c>
      <c r="D26" s="10" t="s">
        <v>46</v>
      </c>
      <c r="E26" s="10" t="s">
        <v>46</v>
      </c>
      <c r="F26" s="60">
        <f>Assumption!C53</f>
        <v>5</v>
      </c>
      <c r="G26" s="31">
        <f>Assumption!D53</f>
        <v>62110</v>
      </c>
      <c r="H26" s="31">
        <f>Assumption!E53</f>
        <v>310550</v>
      </c>
      <c r="I26" s="35">
        <f>$H$26/12</f>
        <v>25879.166666666668</v>
      </c>
      <c r="J26" s="35">
        <f t="shared" ref="J26:T26" si="17">$H$26/12</f>
        <v>25879.166666666668</v>
      </c>
      <c r="K26" s="35">
        <f t="shared" si="17"/>
        <v>25879.166666666668</v>
      </c>
      <c r="L26" s="35">
        <f t="shared" si="17"/>
        <v>25879.166666666668</v>
      </c>
      <c r="M26" s="35">
        <f t="shared" si="17"/>
        <v>25879.166666666668</v>
      </c>
      <c r="N26" s="35">
        <f t="shared" si="17"/>
        <v>25879.166666666668</v>
      </c>
      <c r="O26" s="35">
        <f t="shared" si="17"/>
        <v>25879.166666666668</v>
      </c>
      <c r="P26" s="35">
        <f t="shared" si="17"/>
        <v>25879.166666666668</v>
      </c>
      <c r="Q26" s="35">
        <f t="shared" si="17"/>
        <v>25879.166666666668</v>
      </c>
      <c r="R26" s="35">
        <f t="shared" si="17"/>
        <v>25879.166666666668</v>
      </c>
      <c r="S26" s="35">
        <f t="shared" si="17"/>
        <v>25879.166666666668</v>
      </c>
      <c r="T26" s="35">
        <f t="shared" si="17"/>
        <v>25879.166666666668</v>
      </c>
    </row>
    <row r="27" spans="2:20" x14ac:dyDescent="0.2">
      <c r="B27" s="8">
        <v>5127</v>
      </c>
      <c r="C27" s="8" t="s">
        <v>182</v>
      </c>
      <c r="D27" s="10" t="s">
        <v>46</v>
      </c>
      <c r="E27" s="10" t="s">
        <v>46</v>
      </c>
      <c r="F27" s="60">
        <f>Assumption!C54</f>
        <v>4</v>
      </c>
      <c r="G27" s="31">
        <f>Assumption!D54</f>
        <v>58401</v>
      </c>
      <c r="H27" s="31">
        <f>Assumption!E54</f>
        <v>233604</v>
      </c>
      <c r="I27" s="35">
        <f>$H$27/12</f>
        <v>19467</v>
      </c>
      <c r="J27" s="35">
        <f t="shared" ref="J27:T27" si="18">$H$27/12</f>
        <v>19467</v>
      </c>
      <c r="K27" s="35">
        <f t="shared" si="18"/>
        <v>19467</v>
      </c>
      <c r="L27" s="35">
        <f t="shared" si="18"/>
        <v>19467</v>
      </c>
      <c r="M27" s="35">
        <f t="shared" si="18"/>
        <v>19467</v>
      </c>
      <c r="N27" s="35">
        <f t="shared" si="18"/>
        <v>19467</v>
      </c>
      <c r="O27" s="35">
        <f t="shared" si="18"/>
        <v>19467</v>
      </c>
      <c r="P27" s="35">
        <f t="shared" si="18"/>
        <v>19467</v>
      </c>
      <c r="Q27" s="35">
        <f t="shared" si="18"/>
        <v>19467</v>
      </c>
      <c r="R27" s="35">
        <f t="shared" si="18"/>
        <v>19467</v>
      </c>
      <c r="S27" s="35">
        <f t="shared" si="18"/>
        <v>19467</v>
      </c>
      <c r="T27" s="35">
        <f t="shared" si="18"/>
        <v>19467</v>
      </c>
    </row>
    <row r="28" spans="2:20" x14ac:dyDescent="0.2">
      <c r="B28" s="8">
        <v>5601</v>
      </c>
      <c r="C28" s="8" t="s">
        <v>105</v>
      </c>
      <c r="D28" s="10" t="s">
        <v>46</v>
      </c>
      <c r="E28" s="10" t="s">
        <v>46</v>
      </c>
      <c r="F28" s="60">
        <f>Assumption!C55</f>
        <v>3</v>
      </c>
      <c r="G28" s="31">
        <f>Assumption!D55</f>
        <v>67484</v>
      </c>
      <c r="H28" s="31">
        <f>Assumption!E55</f>
        <v>202452</v>
      </c>
      <c r="I28" s="35">
        <f>$H$28/12</f>
        <v>16871</v>
      </c>
      <c r="J28" s="35">
        <f t="shared" ref="J28:T28" si="19">$H$28/12</f>
        <v>16871</v>
      </c>
      <c r="K28" s="35">
        <f t="shared" si="19"/>
        <v>16871</v>
      </c>
      <c r="L28" s="35">
        <f t="shared" si="19"/>
        <v>16871</v>
      </c>
      <c r="M28" s="35">
        <f t="shared" si="19"/>
        <v>16871</v>
      </c>
      <c r="N28" s="35">
        <f t="shared" si="19"/>
        <v>16871</v>
      </c>
      <c r="O28" s="35">
        <f t="shared" si="19"/>
        <v>16871</v>
      </c>
      <c r="P28" s="35">
        <f t="shared" si="19"/>
        <v>16871</v>
      </c>
      <c r="Q28" s="35">
        <f t="shared" si="19"/>
        <v>16871</v>
      </c>
      <c r="R28" s="35">
        <f t="shared" si="19"/>
        <v>16871</v>
      </c>
      <c r="S28" s="35">
        <f t="shared" si="19"/>
        <v>16871</v>
      </c>
      <c r="T28" s="35">
        <f t="shared" si="19"/>
        <v>16871</v>
      </c>
    </row>
    <row r="29" spans="2:20" x14ac:dyDescent="0.2">
      <c r="B29" s="8">
        <v>5010</v>
      </c>
      <c r="C29" s="8" t="s">
        <v>106</v>
      </c>
      <c r="D29" s="10" t="s">
        <v>46</v>
      </c>
      <c r="E29" s="10" t="s">
        <v>46</v>
      </c>
      <c r="F29" s="60">
        <f>Assumption!C56</f>
        <v>1</v>
      </c>
      <c r="G29" s="31">
        <f>Assumption!D56</f>
        <v>110000</v>
      </c>
      <c r="H29" s="31">
        <f>Assumption!E56</f>
        <v>110000</v>
      </c>
      <c r="I29" s="35">
        <f>$H$29/12</f>
        <v>9166.6666666666661</v>
      </c>
      <c r="J29" s="35">
        <f t="shared" ref="J29:T29" si="20">$H$29/12</f>
        <v>9166.6666666666661</v>
      </c>
      <c r="K29" s="35">
        <f t="shared" si="20"/>
        <v>9166.6666666666661</v>
      </c>
      <c r="L29" s="35">
        <f t="shared" si="20"/>
        <v>9166.6666666666661</v>
      </c>
      <c r="M29" s="35">
        <f t="shared" si="20"/>
        <v>9166.6666666666661</v>
      </c>
      <c r="N29" s="35">
        <f t="shared" si="20"/>
        <v>9166.6666666666661</v>
      </c>
      <c r="O29" s="35">
        <f t="shared" si="20"/>
        <v>9166.6666666666661</v>
      </c>
      <c r="P29" s="35">
        <f t="shared" si="20"/>
        <v>9166.6666666666661</v>
      </c>
      <c r="Q29" s="35">
        <f t="shared" si="20"/>
        <v>9166.6666666666661</v>
      </c>
      <c r="R29" s="35">
        <f t="shared" si="20"/>
        <v>9166.6666666666661</v>
      </c>
      <c r="S29" s="35">
        <f t="shared" si="20"/>
        <v>9166.6666666666661</v>
      </c>
      <c r="T29" s="35">
        <f t="shared" si="20"/>
        <v>9166.6666666666661</v>
      </c>
    </row>
    <row r="30" spans="2:20" x14ac:dyDescent="0.2">
      <c r="B30" s="8">
        <v>5311</v>
      </c>
      <c r="C30" s="8" t="s">
        <v>24</v>
      </c>
      <c r="D30" s="10" t="s">
        <v>46</v>
      </c>
      <c r="E30" s="10" t="s">
        <v>46</v>
      </c>
      <c r="F30" s="60">
        <f>Assumption!C57</f>
        <v>1</v>
      </c>
      <c r="G30" s="31">
        <f>Assumption!D57</f>
        <v>98543</v>
      </c>
      <c r="H30" s="31">
        <f>Assumption!E57</f>
        <v>98543</v>
      </c>
      <c r="I30" s="35">
        <f>$H$30/12</f>
        <v>8211.9166666666661</v>
      </c>
      <c r="J30" s="35">
        <f t="shared" ref="J30:T30" si="21">$H$30/12</f>
        <v>8211.9166666666661</v>
      </c>
      <c r="K30" s="35">
        <f t="shared" si="21"/>
        <v>8211.9166666666661</v>
      </c>
      <c r="L30" s="35">
        <f t="shared" si="21"/>
        <v>8211.9166666666661</v>
      </c>
      <c r="M30" s="35">
        <f t="shared" si="21"/>
        <v>8211.9166666666661</v>
      </c>
      <c r="N30" s="35">
        <f t="shared" si="21"/>
        <v>8211.9166666666661</v>
      </c>
      <c r="O30" s="35">
        <f t="shared" si="21"/>
        <v>8211.9166666666661</v>
      </c>
      <c r="P30" s="35">
        <f t="shared" si="21"/>
        <v>8211.9166666666661</v>
      </c>
      <c r="Q30" s="35">
        <f t="shared" si="21"/>
        <v>8211.9166666666661</v>
      </c>
      <c r="R30" s="35">
        <f t="shared" si="21"/>
        <v>8211.9166666666661</v>
      </c>
      <c r="S30" s="35">
        <f t="shared" si="21"/>
        <v>8211.9166666666661</v>
      </c>
      <c r="T30" s="35">
        <f t="shared" si="21"/>
        <v>8211.9166666666661</v>
      </c>
    </row>
    <row r="31" spans="2:20" x14ac:dyDescent="0.2">
      <c r="B31" s="8">
        <v>5221</v>
      </c>
      <c r="C31" s="11" t="s">
        <v>20</v>
      </c>
      <c r="D31" s="10" t="s">
        <v>47</v>
      </c>
      <c r="E31" s="10" t="s">
        <v>48</v>
      </c>
      <c r="F31" s="10"/>
      <c r="G31" s="33">
        <f>Assumption!D23</f>
        <v>6.2E-2</v>
      </c>
      <c r="H31" s="31">
        <f>G31*Assumption!E58</f>
        <v>335358.86800000002</v>
      </c>
      <c r="I31" s="35">
        <f>$H$31/12</f>
        <v>27946.572333333334</v>
      </c>
      <c r="J31" s="35">
        <f t="shared" ref="J31:T31" si="22">$H$31/12</f>
        <v>27946.572333333334</v>
      </c>
      <c r="K31" s="35">
        <f t="shared" si="22"/>
        <v>27946.572333333334</v>
      </c>
      <c r="L31" s="35">
        <f t="shared" si="22"/>
        <v>27946.572333333334</v>
      </c>
      <c r="M31" s="35">
        <f t="shared" si="22"/>
        <v>27946.572333333334</v>
      </c>
      <c r="N31" s="35">
        <f t="shared" si="22"/>
        <v>27946.572333333334</v>
      </c>
      <c r="O31" s="35">
        <f t="shared" si="22"/>
        <v>27946.572333333334</v>
      </c>
      <c r="P31" s="35">
        <f t="shared" si="22"/>
        <v>27946.572333333334</v>
      </c>
      <c r="Q31" s="35">
        <f t="shared" si="22"/>
        <v>27946.572333333334</v>
      </c>
      <c r="R31" s="35">
        <f t="shared" si="22"/>
        <v>27946.572333333334</v>
      </c>
      <c r="S31" s="35">
        <f t="shared" si="22"/>
        <v>27946.572333333334</v>
      </c>
      <c r="T31" s="35">
        <f t="shared" si="22"/>
        <v>27946.572333333334</v>
      </c>
    </row>
    <row r="32" spans="2:20" x14ac:dyDescent="0.2">
      <c r="B32" s="8">
        <v>5148</v>
      </c>
      <c r="C32" s="11" t="s">
        <v>21</v>
      </c>
      <c r="D32" s="10" t="s">
        <v>49</v>
      </c>
      <c r="E32" s="10" t="s">
        <v>50</v>
      </c>
      <c r="F32" s="10"/>
      <c r="G32" s="31">
        <f>Assumption!D24</f>
        <v>195000</v>
      </c>
      <c r="H32" s="48">
        <f>G32</f>
        <v>195000</v>
      </c>
      <c r="I32" s="35">
        <f>$H$32/12</f>
        <v>16250</v>
      </c>
      <c r="J32" s="35">
        <f t="shared" ref="J32:T32" si="23">$H$32/12</f>
        <v>16250</v>
      </c>
      <c r="K32" s="35">
        <f t="shared" si="23"/>
        <v>16250</v>
      </c>
      <c r="L32" s="35">
        <f t="shared" si="23"/>
        <v>16250</v>
      </c>
      <c r="M32" s="35">
        <f t="shared" si="23"/>
        <v>16250</v>
      </c>
      <c r="N32" s="35">
        <f t="shared" si="23"/>
        <v>16250</v>
      </c>
      <c r="O32" s="35">
        <f t="shared" si="23"/>
        <v>16250</v>
      </c>
      <c r="P32" s="35">
        <f t="shared" si="23"/>
        <v>16250</v>
      </c>
      <c r="Q32" s="35">
        <f t="shared" si="23"/>
        <v>16250</v>
      </c>
      <c r="R32" s="35">
        <f t="shared" si="23"/>
        <v>16250</v>
      </c>
      <c r="S32" s="35">
        <f t="shared" si="23"/>
        <v>16250</v>
      </c>
      <c r="T32" s="35">
        <f t="shared" si="23"/>
        <v>16250</v>
      </c>
    </row>
    <row r="33" spans="2:20" x14ac:dyDescent="0.2">
      <c r="B33" s="8">
        <v>5212</v>
      </c>
      <c r="C33" s="11" t="s">
        <v>22</v>
      </c>
      <c r="D33" s="10" t="s">
        <v>47</v>
      </c>
      <c r="E33" s="10" t="s">
        <v>51</v>
      </c>
      <c r="F33" s="10"/>
      <c r="G33" s="33">
        <f>Assumption!D25</f>
        <v>0.22</v>
      </c>
      <c r="H33" s="31">
        <f>(Assumption!E58+(Assumption!E58*Assumption!D23))*Assumption!D25</f>
        <v>1263762.0309599999</v>
      </c>
      <c r="I33" s="35">
        <f>$H$33/12</f>
        <v>105313.50257999999</v>
      </c>
      <c r="J33" s="35">
        <f t="shared" ref="J33:T33" si="24">$H$33/12</f>
        <v>105313.50257999999</v>
      </c>
      <c r="K33" s="35">
        <f t="shared" si="24"/>
        <v>105313.50257999999</v>
      </c>
      <c r="L33" s="35">
        <f t="shared" si="24"/>
        <v>105313.50257999999</v>
      </c>
      <c r="M33" s="35">
        <f t="shared" si="24"/>
        <v>105313.50257999999</v>
      </c>
      <c r="N33" s="35">
        <f t="shared" si="24"/>
        <v>105313.50257999999</v>
      </c>
      <c r="O33" s="35">
        <f t="shared" si="24"/>
        <v>105313.50257999999</v>
      </c>
      <c r="P33" s="35">
        <f t="shared" si="24"/>
        <v>105313.50257999999</v>
      </c>
      <c r="Q33" s="35">
        <f t="shared" si="24"/>
        <v>105313.50257999999</v>
      </c>
      <c r="R33" s="35">
        <f t="shared" si="24"/>
        <v>105313.50257999999</v>
      </c>
      <c r="S33" s="35">
        <f t="shared" si="24"/>
        <v>105313.50257999999</v>
      </c>
      <c r="T33" s="35">
        <f t="shared" si="24"/>
        <v>105313.50257999999</v>
      </c>
    </row>
    <row r="34" spans="2:20" x14ac:dyDescent="0.2">
      <c r="B34" s="8">
        <v>5213</v>
      </c>
      <c r="C34" s="11" t="s">
        <v>23</v>
      </c>
      <c r="D34" s="10" t="s">
        <v>47</v>
      </c>
      <c r="E34" s="10" t="s">
        <v>51</v>
      </c>
      <c r="F34" s="10"/>
      <c r="G34" s="33">
        <f>Assumption!D26</f>
        <v>7.4999999999999997E-2</v>
      </c>
      <c r="H34" s="31">
        <f>Assumption!D26*Assumption!E58</f>
        <v>405676.05</v>
      </c>
      <c r="I34" s="35">
        <f>$H$34/12</f>
        <v>33806.337500000001</v>
      </c>
      <c r="J34" s="35">
        <f t="shared" ref="J34:T34" si="25">$H$34/12</f>
        <v>33806.337500000001</v>
      </c>
      <c r="K34" s="35">
        <f t="shared" si="25"/>
        <v>33806.337500000001</v>
      </c>
      <c r="L34" s="35">
        <f t="shared" si="25"/>
        <v>33806.337500000001</v>
      </c>
      <c r="M34" s="35">
        <f t="shared" si="25"/>
        <v>33806.337500000001</v>
      </c>
      <c r="N34" s="35">
        <f t="shared" si="25"/>
        <v>33806.337500000001</v>
      </c>
      <c r="O34" s="35">
        <f t="shared" si="25"/>
        <v>33806.337500000001</v>
      </c>
      <c r="P34" s="35">
        <f t="shared" si="25"/>
        <v>33806.337500000001</v>
      </c>
      <c r="Q34" s="35">
        <f t="shared" si="25"/>
        <v>33806.337500000001</v>
      </c>
      <c r="R34" s="35">
        <f t="shared" si="25"/>
        <v>33806.337500000001</v>
      </c>
      <c r="S34" s="35">
        <f t="shared" si="25"/>
        <v>33806.337500000001</v>
      </c>
      <c r="T34" s="35">
        <f t="shared" si="25"/>
        <v>33806.337500000001</v>
      </c>
    </row>
    <row r="35" spans="2:20" x14ac:dyDescent="0.2">
      <c r="B35" s="8"/>
      <c r="C35" s="14" t="s">
        <v>26</v>
      </c>
      <c r="D35" s="8"/>
      <c r="E35" s="8"/>
      <c r="F35" s="10"/>
      <c r="G35" s="8"/>
      <c r="H35" s="50">
        <f>SUM(H22:H34)</f>
        <v>7608810.9489599997</v>
      </c>
      <c r="I35" s="50">
        <f t="shared" ref="I35:T35" si="26">SUM(I22:I34)</f>
        <v>634067.57908000005</v>
      </c>
      <c r="J35" s="50">
        <f t="shared" si="26"/>
        <v>634067.57908000005</v>
      </c>
      <c r="K35" s="50">
        <f t="shared" si="26"/>
        <v>634067.57908000005</v>
      </c>
      <c r="L35" s="50">
        <f t="shared" si="26"/>
        <v>634067.57908000005</v>
      </c>
      <c r="M35" s="50">
        <f t="shared" si="26"/>
        <v>634067.57908000005</v>
      </c>
      <c r="N35" s="50">
        <f t="shared" si="26"/>
        <v>634067.57908000005</v>
      </c>
      <c r="O35" s="50">
        <f t="shared" si="26"/>
        <v>634067.57908000005</v>
      </c>
      <c r="P35" s="50">
        <f t="shared" si="26"/>
        <v>634067.57908000005</v>
      </c>
      <c r="Q35" s="50">
        <f t="shared" si="26"/>
        <v>634067.57908000005</v>
      </c>
      <c r="R35" s="50">
        <f t="shared" si="26"/>
        <v>634067.57908000005</v>
      </c>
      <c r="S35" s="50">
        <f t="shared" si="26"/>
        <v>634067.57908000005</v>
      </c>
      <c r="T35" s="50">
        <f t="shared" si="26"/>
        <v>634067.57908000005</v>
      </c>
    </row>
    <row r="36" spans="2:20" x14ac:dyDescent="0.2">
      <c r="C36" s="15"/>
      <c r="D36" s="15"/>
      <c r="E36" s="15"/>
      <c r="F36" s="12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</row>
    <row r="37" spans="2:20" ht="22" customHeight="1" x14ac:dyDescent="0.2">
      <c r="B37" s="7" t="s">
        <v>27</v>
      </c>
      <c r="C37" s="16"/>
      <c r="D37" s="16"/>
      <c r="E37" s="16"/>
      <c r="F37" s="13"/>
      <c r="G37" s="2"/>
      <c r="H37" s="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</row>
    <row r="38" spans="2:20" x14ac:dyDescent="0.2">
      <c r="B38" s="8"/>
      <c r="C38" s="11" t="s">
        <v>28</v>
      </c>
      <c r="D38" s="10" t="s">
        <v>42</v>
      </c>
      <c r="E38" s="10" t="s">
        <v>52</v>
      </c>
      <c r="F38" s="140">
        <f>Assumption!G13</f>
        <v>650</v>
      </c>
      <c r="G38" s="31">
        <f>Assumption!D17</f>
        <v>8150</v>
      </c>
      <c r="H38" s="31">
        <f>G38*F38</f>
        <v>5297500</v>
      </c>
      <c r="I38" s="35">
        <f>$H$38/12</f>
        <v>441458.33333333331</v>
      </c>
      <c r="J38" s="35">
        <f t="shared" ref="J38:T38" si="27">$H$38/12</f>
        <v>441458.33333333331</v>
      </c>
      <c r="K38" s="35">
        <f t="shared" si="27"/>
        <v>441458.33333333331</v>
      </c>
      <c r="L38" s="35">
        <f t="shared" si="27"/>
        <v>441458.33333333331</v>
      </c>
      <c r="M38" s="35">
        <f t="shared" si="27"/>
        <v>441458.33333333331</v>
      </c>
      <c r="N38" s="35">
        <f t="shared" si="27"/>
        <v>441458.33333333331</v>
      </c>
      <c r="O38" s="35">
        <f t="shared" si="27"/>
        <v>441458.33333333331</v>
      </c>
      <c r="P38" s="35">
        <f t="shared" si="27"/>
        <v>441458.33333333331</v>
      </c>
      <c r="Q38" s="35">
        <f t="shared" si="27"/>
        <v>441458.33333333331</v>
      </c>
      <c r="R38" s="35">
        <f t="shared" si="27"/>
        <v>441458.33333333331</v>
      </c>
      <c r="S38" s="35">
        <f t="shared" si="27"/>
        <v>441458.33333333331</v>
      </c>
      <c r="T38" s="35">
        <f t="shared" si="27"/>
        <v>441458.33333333331</v>
      </c>
    </row>
    <row r="39" spans="2:20" x14ac:dyDescent="0.2">
      <c r="B39" s="8"/>
      <c r="C39" s="11" t="s">
        <v>29</v>
      </c>
      <c r="D39" s="10" t="s">
        <v>42</v>
      </c>
      <c r="E39" s="10" t="s">
        <v>52</v>
      </c>
      <c r="F39" s="140">
        <f>Assumption!G11-Assumption!G13</f>
        <v>2805</v>
      </c>
      <c r="G39" s="31">
        <f>Assumption!D18</f>
        <v>1300</v>
      </c>
      <c r="H39" s="31">
        <f t="shared" ref="H39:H41" si="28">G39*F39</f>
        <v>3646500</v>
      </c>
      <c r="I39" s="35">
        <f>$H$39/12</f>
        <v>303875</v>
      </c>
      <c r="J39" s="35">
        <f t="shared" ref="J39:T39" si="29">$H$39/12</f>
        <v>303875</v>
      </c>
      <c r="K39" s="35">
        <f t="shared" si="29"/>
        <v>303875</v>
      </c>
      <c r="L39" s="35">
        <f t="shared" si="29"/>
        <v>303875</v>
      </c>
      <c r="M39" s="35">
        <f t="shared" si="29"/>
        <v>303875</v>
      </c>
      <c r="N39" s="35">
        <f t="shared" si="29"/>
        <v>303875</v>
      </c>
      <c r="O39" s="35">
        <f t="shared" si="29"/>
        <v>303875</v>
      </c>
      <c r="P39" s="35">
        <f t="shared" si="29"/>
        <v>303875</v>
      </c>
      <c r="Q39" s="35">
        <f t="shared" si="29"/>
        <v>303875</v>
      </c>
      <c r="R39" s="35">
        <f t="shared" si="29"/>
        <v>303875</v>
      </c>
      <c r="S39" s="35">
        <f t="shared" si="29"/>
        <v>303875</v>
      </c>
      <c r="T39" s="35">
        <f t="shared" si="29"/>
        <v>303875</v>
      </c>
    </row>
    <row r="40" spans="2:20" x14ac:dyDescent="0.2">
      <c r="B40" s="8"/>
      <c r="C40" s="11" t="s">
        <v>30</v>
      </c>
      <c r="D40" s="10" t="s">
        <v>42</v>
      </c>
      <c r="E40" s="10" t="s">
        <v>52</v>
      </c>
      <c r="F40" s="140">
        <f>Assumption!G11</f>
        <v>3455</v>
      </c>
      <c r="G40" s="31">
        <f>Assumption!D19</f>
        <v>385</v>
      </c>
      <c r="H40" s="31">
        <f t="shared" si="28"/>
        <v>1330175</v>
      </c>
      <c r="I40" s="35">
        <f>$H$40/12</f>
        <v>110847.91666666667</v>
      </c>
      <c r="J40" s="35">
        <f t="shared" ref="J40:T40" si="30">$H$40/12</f>
        <v>110847.91666666667</v>
      </c>
      <c r="K40" s="35">
        <f t="shared" si="30"/>
        <v>110847.91666666667</v>
      </c>
      <c r="L40" s="35">
        <f t="shared" si="30"/>
        <v>110847.91666666667</v>
      </c>
      <c r="M40" s="35">
        <f t="shared" si="30"/>
        <v>110847.91666666667</v>
      </c>
      <c r="N40" s="35">
        <f t="shared" si="30"/>
        <v>110847.91666666667</v>
      </c>
      <c r="O40" s="35">
        <f t="shared" si="30"/>
        <v>110847.91666666667</v>
      </c>
      <c r="P40" s="35">
        <f t="shared" si="30"/>
        <v>110847.91666666667</v>
      </c>
      <c r="Q40" s="35">
        <f t="shared" si="30"/>
        <v>110847.91666666667</v>
      </c>
      <c r="R40" s="35">
        <f t="shared" si="30"/>
        <v>110847.91666666667</v>
      </c>
      <c r="S40" s="35">
        <f t="shared" si="30"/>
        <v>110847.91666666667</v>
      </c>
      <c r="T40" s="35">
        <f t="shared" si="30"/>
        <v>110847.91666666667</v>
      </c>
    </row>
    <row r="41" spans="2:20" x14ac:dyDescent="0.2">
      <c r="B41" s="8"/>
      <c r="C41" s="11" t="s">
        <v>31</v>
      </c>
      <c r="D41" s="10" t="s">
        <v>42</v>
      </c>
      <c r="E41" s="10" t="s">
        <v>84</v>
      </c>
      <c r="F41" s="140">
        <f>Assumption!C40</f>
        <v>22000</v>
      </c>
      <c r="G41" s="31">
        <f>Assumption!D20</f>
        <v>15</v>
      </c>
      <c r="H41" s="31">
        <f t="shared" si="28"/>
        <v>330000</v>
      </c>
      <c r="I41" s="35">
        <f>$H$41/12</f>
        <v>27500</v>
      </c>
      <c r="J41" s="35">
        <f t="shared" ref="J41:T41" si="31">$H$41/12</f>
        <v>27500</v>
      </c>
      <c r="K41" s="35">
        <f t="shared" si="31"/>
        <v>27500</v>
      </c>
      <c r="L41" s="35">
        <f t="shared" si="31"/>
        <v>27500</v>
      </c>
      <c r="M41" s="35">
        <f t="shared" si="31"/>
        <v>27500</v>
      </c>
      <c r="N41" s="35">
        <f t="shared" si="31"/>
        <v>27500</v>
      </c>
      <c r="O41" s="35">
        <f t="shared" si="31"/>
        <v>27500</v>
      </c>
      <c r="P41" s="35">
        <f t="shared" si="31"/>
        <v>27500</v>
      </c>
      <c r="Q41" s="35">
        <f t="shared" si="31"/>
        <v>27500</v>
      </c>
      <c r="R41" s="35">
        <f t="shared" si="31"/>
        <v>27500</v>
      </c>
      <c r="S41" s="35">
        <f t="shared" si="31"/>
        <v>27500</v>
      </c>
      <c r="T41" s="35">
        <f t="shared" si="31"/>
        <v>27500</v>
      </c>
    </row>
    <row r="42" spans="2:20" x14ac:dyDescent="0.2">
      <c r="B42" s="8"/>
      <c r="C42" s="14" t="s">
        <v>32</v>
      </c>
      <c r="D42" s="11"/>
      <c r="E42" s="11"/>
      <c r="F42" s="141"/>
      <c r="G42" s="8"/>
      <c r="H42" s="50">
        <f>SUM(H38:H41)</f>
        <v>10604175</v>
      </c>
      <c r="I42" s="50">
        <f t="shared" ref="I42:T42" si="32">SUM(I38:I41)</f>
        <v>883681.24999999988</v>
      </c>
      <c r="J42" s="50">
        <f t="shared" si="32"/>
        <v>883681.24999999988</v>
      </c>
      <c r="K42" s="50">
        <f t="shared" si="32"/>
        <v>883681.24999999988</v>
      </c>
      <c r="L42" s="50">
        <f t="shared" si="32"/>
        <v>883681.24999999988</v>
      </c>
      <c r="M42" s="50">
        <f t="shared" si="32"/>
        <v>883681.24999999988</v>
      </c>
      <c r="N42" s="50">
        <f t="shared" si="32"/>
        <v>883681.24999999988</v>
      </c>
      <c r="O42" s="50">
        <f t="shared" si="32"/>
        <v>883681.24999999988</v>
      </c>
      <c r="P42" s="50">
        <f t="shared" si="32"/>
        <v>883681.24999999988</v>
      </c>
      <c r="Q42" s="50">
        <f t="shared" si="32"/>
        <v>883681.24999999988</v>
      </c>
      <c r="R42" s="50">
        <f t="shared" si="32"/>
        <v>883681.24999999988</v>
      </c>
      <c r="S42" s="50">
        <f t="shared" si="32"/>
        <v>883681.24999999988</v>
      </c>
      <c r="T42" s="50">
        <f t="shared" si="32"/>
        <v>883681.24999999988</v>
      </c>
    </row>
    <row r="43" spans="2:20" x14ac:dyDescent="0.2">
      <c r="C43" s="15"/>
      <c r="D43" s="15"/>
      <c r="E43" s="15"/>
      <c r="F43" s="12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</row>
    <row r="44" spans="2:20" ht="21" customHeight="1" x14ac:dyDescent="0.2">
      <c r="B44" s="7" t="s">
        <v>33</v>
      </c>
      <c r="C44" s="16"/>
      <c r="D44" s="16"/>
      <c r="E44" s="16"/>
      <c r="F44" s="13"/>
      <c r="G44" s="2"/>
      <c r="H44" s="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</row>
    <row r="45" spans="2:20" x14ac:dyDescent="0.2">
      <c r="B45" s="8"/>
      <c r="C45" s="11" t="s">
        <v>34</v>
      </c>
      <c r="D45" s="10" t="s">
        <v>42</v>
      </c>
      <c r="E45" s="10" t="s">
        <v>53</v>
      </c>
      <c r="F45" s="60">
        <f>Assumption!G11</f>
        <v>3455</v>
      </c>
      <c r="G45" s="31">
        <f>Assumption!D9</f>
        <v>1240</v>
      </c>
      <c r="H45" s="31">
        <f>G45*F45</f>
        <v>4284200</v>
      </c>
      <c r="I45" s="35">
        <f>$H$45*I$5</f>
        <v>299894</v>
      </c>
      <c r="J45" s="35">
        <f t="shared" ref="J45:T45" si="33">$H$45*J$5</f>
        <v>308462.39999999997</v>
      </c>
      <c r="K45" s="35">
        <f t="shared" si="33"/>
        <v>317030.8</v>
      </c>
      <c r="L45" s="35">
        <f t="shared" si="33"/>
        <v>325599.2</v>
      </c>
      <c r="M45" s="35">
        <f t="shared" si="33"/>
        <v>364157</v>
      </c>
      <c r="N45" s="35">
        <f t="shared" si="33"/>
        <v>406999</v>
      </c>
      <c r="O45" s="35">
        <f t="shared" si="33"/>
        <v>419851.60000000003</v>
      </c>
      <c r="P45" s="35">
        <f t="shared" si="33"/>
        <v>428420</v>
      </c>
      <c r="Q45" s="35">
        <f t="shared" si="33"/>
        <v>411283.20000000001</v>
      </c>
      <c r="R45" s="35">
        <f t="shared" si="33"/>
        <v>355588.60000000003</v>
      </c>
      <c r="S45" s="35">
        <f t="shared" si="33"/>
        <v>347020.2</v>
      </c>
      <c r="T45" s="35">
        <f t="shared" si="33"/>
        <v>299894</v>
      </c>
    </row>
    <row r="46" spans="2:20" x14ac:dyDescent="0.2">
      <c r="B46" s="8"/>
      <c r="C46" s="11" t="s">
        <v>35</v>
      </c>
      <c r="D46" s="10" t="s">
        <v>42</v>
      </c>
      <c r="E46" s="10" t="s">
        <v>50</v>
      </c>
      <c r="F46" s="60">
        <f>Assumption!G11</f>
        <v>3455</v>
      </c>
      <c r="G46" s="31">
        <f>Assumption!D10</f>
        <v>390</v>
      </c>
      <c r="H46" s="31">
        <f>G46*F46</f>
        <v>1347450</v>
      </c>
      <c r="I46" s="35">
        <f>$H$46*I$5</f>
        <v>94321.500000000015</v>
      </c>
      <c r="J46" s="35">
        <f t="shared" ref="J46:T46" si="34">$H$46*J$5</f>
        <v>97016.4</v>
      </c>
      <c r="K46" s="35">
        <f t="shared" si="34"/>
        <v>99711.299999999988</v>
      </c>
      <c r="L46" s="35">
        <f t="shared" si="34"/>
        <v>102406.2</v>
      </c>
      <c r="M46" s="35">
        <f t="shared" si="34"/>
        <v>114533.25000000001</v>
      </c>
      <c r="N46" s="35">
        <f t="shared" si="34"/>
        <v>128007.75</v>
      </c>
      <c r="O46" s="35">
        <f t="shared" si="34"/>
        <v>132050.1</v>
      </c>
      <c r="P46" s="35">
        <f t="shared" si="34"/>
        <v>134745</v>
      </c>
      <c r="Q46" s="35">
        <f t="shared" si="34"/>
        <v>129355.2</v>
      </c>
      <c r="R46" s="35">
        <f t="shared" si="34"/>
        <v>111838.35</v>
      </c>
      <c r="S46" s="35">
        <f t="shared" si="34"/>
        <v>109143.45</v>
      </c>
      <c r="T46" s="35">
        <f t="shared" si="34"/>
        <v>94321.500000000015</v>
      </c>
    </row>
    <row r="47" spans="2:20" x14ac:dyDescent="0.2">
      <c r="B47" s="8"/>
      <c r="C47" s="11" t="s">
        <v>80</v>
      </c>
      <c r="D47" s="10" t="s">
        <v>49</v>
      </c>
      <c r="E47" s="10" t="s">
        <v>74</v>
      </c>
      <c r="F47" s="60"/>
      <c r="G47" s="31">
        <f>Assumption!D11</f>
        <v>120000</v>
      </c>
      <c r="H47" s="31">
        <f>G47</f>
        <v>120000</v>
      </c>
      <c r="I47" s="35">
        <f>$H$47/12</f>
        <v>10000</v>
      </c>
      <c r="J47" s="35">
        <f t="shared" ref="J47:T47" si="35">$H$47/12</f>
        <v>10000</v>
      </c>
      <c r="K47" s="35">
        <f t="shared" si="35"/>
        <v>10000</v>
      </c>
      <c r="L47" s="35">
        <f t="shared" si="35"/>
        <v>10000</v>
      </c>
      <c r="M47" s="35">
        <f t="shared" si="35"/>
        <v>10000</v>
      </c>
      <c r="N47" s="35">
        <f t="shared" si="35"/>
        <v>10000</v>
      </c>
      <c r="O47" s="35">
        <f t="shared" si="35"/>
        <v>10000</v>
      </c>
      <c r="P47" s="35">
        <f t="shared" si="35"/>
        <v>10000</v>
      </c>
      <c r="Q47" s="35">
        <f t="shared" si="35"/>
        <v>10000</v>
      </c>
      <c r="R47" s="35">
        <f t="shared" si="35"/>
        <v>10000</v>
      </c>
      <c r="S47" s="35">
        <f t="shared" si="35"/>
        <v>10000</v>
      </c>
      <c r="T47" s="35">
        <f t="shared" si="35"/>
        <v>10000</v>
      </c>
    </row>
    <row r="48" spans="2:20" x14ac:dyDescent="0.2">
      <c r="B48" s="8"/>
      <c r="C48" s="11" t="s">
        <v>36</v>
      </c>
      <c r="D48" s="10" t="s">
        <v>42</v>
      </c>
      <c r="E48" s="10" t="s">
        <v>53</v>
      </c>
      <c r="F48" s="142">
        <v>5015</v>
      </c>
      <c r="G48" s="31">
        <f>Assumption!D7</f>
        <v>3000</v>
      </c>
      <c r="H48" s="31">
        <f>G48*F48</f>
        <v>15045000</v>
      </c>
      <c r="I48" s="35">
        <f>$H$48*I$5</f>
        <v>1053150</v>
      </c>
      <c r="J48" s="35">
        <f t="shared" ref="J48:T48" si="36">$H$48*J$5</f>
        <v>1083240</v>
      </c>
      <c r="K48" s="35">
        <f t="shared" si="36"/>
        <v>1113330</v>
      </c>
      <c r="L48" s="35">
        <f t="shared" si="36"/>
        <v>1143420</v>
      </c>
      <c r="M48" s="35">
        <f t="shared" si="36"/>
        <v>1278825</v>
      </c>
      <c r="N48" s="35">
        <f t="shared" si="36"/>
        <v>1429275</v>
      </c>
      <c r="O48" s="35">
        <f t="shared" si="36"/>
        <v>1474410</v>
      </c>
      <c r="P48" s="35">
        <f t="shared" si="36"/>
        <v>1504500</v>
      </c>
      <c r="Q48" s="35">
        <f t="shared" si="36"/>
        <v>1444320</v>
      </c>
      <c r="R48" s="35">
        <f t="shared" si="36"/>
        <v>1248735</v>
      </c>
      <c r="S48" s="35">
        <f t="shared" si="36"/>
        <v>1218645</v>
      </c>
      <c r="T48" s="35">
        <f t="shared" si="36"/>
        <v>1053150</v>
      </c>
    </row>
    <row r="49" spans="2:20" x14ac:dyDescent="0.2">
      <c r="B49" s="8"/>
      <c r="C49" s="11" t="s">
        <v>37</v>
      </c>
      <c r="D49" s="10" t="s">
        <v>42</v>
      </c>
      <c r="E49" s="10" t="s">
        <v>53</v>
      </c>
      <c r="F49" s="60">
        <f>Assumption!G12</f>
        <v>975</v>
      </c>
      <c r="G49" s="31">
        <f>Assumption!D8</f>
        <v>11000</v>
      </c>
      <c r="H49" s="31">
        <f>G49*F49</f>
        <v>10725000</v>
      </c>
      <c r="I49" s="35">
        <f>$H$49*I$5</f>
        <v>750750.00000000012</v>
      </c>
      <c r="J49" s="35">
        <f t="shared" ref="J49:T49" si="37">$H$49*J$5</f>
        <v>772199.99999999988</v>
      </c>
      <c r="K49" s="35">
        <f t="shared" si="37"/>
        <v>793650</v>
      </c>
      <c r="L49" s="35">
        <f t="shared" si="37"/>
        <v>815100</v>
      </c>
      <c r="M49" s="35">
        <f t="shared" si="37"/>
        <v>911625.00000000012</v>
      </c>
      <c r="N49" s="35">
        <f t="shared" si="37"/>
        <v>1018875</v>
      </c>
      <c r="O49" s="35">
        <f t="shared" si="37"/>
        <v>1051050</v>
      </c>
      <c r="P49" s="35">
        <f t="shared" si="37"/>
        <v>1072500</v>
      </c>
      <c r="Q49" s="35">
        <f t="shared" si="37"/>
        <v>1029600</v>
      </c>
      <c r="R49" s="35">
        <f t="shared" si="37"/>
        <v>890175</v>
      </c>
      <c r="S49" s="35">
        <f t="shared" si="37"/>
        <v>868725</v>
      </c>
      <c r="T49" s="35">
        <f t="shared" si="37"/>
        <v>750750.00000000012</v>
      </c>
    </row>
    <row r="50" spans="2:20" x14ac:dyDescent="0.2">
      <c r="B50" s="8"/>
      <c r="C50" s="11" t="s">
        <v>38</v>
      </c>
      <c r="D50" s="10" t="s">
        <v>49</v>
      </c>
      <c r="E50" s="10" t="s">
        <v>50</v>
      </c>
      <c r="F50" s="60"/>
      <c r="G50" s="31">
        <f>Assumption!D11</f>
        <v>120000</v>
      </c>
      <c r="H50" s="31">
        <f>G50</f>
        <v>120000</v>
      </c>
      <c r="I50" s="35">
        <f>$H$50/12</f>
        <v>10000</v>
      </c>
      <c r="J50" s="35">
        <f t="shared" ref="J50:T50" si="38">$H$50/12</f>
        <v>10000</v>
      </c>
      <c r="K50" s="35">
        <f t="shared" si="38"/>
        <v>10000</v>
      </c>
      <c r="L50" s="35">
        <f t="shared" si="38"/>
        <v>10000</v>
      </c>
      <c r="M50" s="35">
        <f t="shared" si="38"/>
        <v>10000</v>
      </c>
      <c r="N50" s="35">
        <f t="shared" si="38"/>
        <v>10000</v>
      </c>
      <c r="O50" s="35">
        <f t="shared" si="38"/>
        <v>10000</v>
      </c>
      <c r="P50" s="35">
        <f t="shared" si="38"/>
        <v>10000</v>
      </c>
      <c r="Q50" s="35">
        <f t="shared" si="38"/>
        <v>10000</v>
      </c>
      <c r="R50" s="35">
        <f t="shared" si="38"/>
        <v>10000</v>
      </c>
      <c r="S50" s="35">
        <f t="shared" si="38"/>
        <v>10000</v>
      </c>
      <c r="T50" s="35">
        <f t="shared" si="38"/>
        <v>10000</v>
      </c>
    </row>
    <row r="51" spans="2:20" x14ac:dyDescent="0.2">
      <c r="B51" s="8"/>
      <c r="C51" s="11" t="s">
        <v>39</v>
      </c>
      <c r="D51" s="10" t="s">
        <v>49</v>
      </c>
      <c r="E51" s="10" t="s">
        <v>50</v>
      </c>
      <c r="F51" s="60"/>
      <c r="G51" s="31">
        <f>Assumption!D13</f>
        <v>2150000</v>
      </c>
      <c r="H51" s="31">
        <f>G51</f>
        <v>2150000</v>
      </c>
      <c r="I51" s="35">
        <f>$H$51/12</f>
        <v>179166.66666666666</v>
      </c>
      <c r="J51" s="35">
        <f t="shared" ref="J51:T51" si="39">$H$51/12</f>
        <v>179166.66666666666</v>
      </c>
      <c r="K51" s="35">
        <f t="shared" si="39"/>
        <v>179166.66666666666</v>
      </c>
      <c r="L51" s="35">
        <f t="shared" si="39"/>
        <v>179166.66666666666</v>
      </c>
      <c r="M51" s="35">
        <f t="shared" si="39"/>
        <v>179166.66666666666</v>
      </c>
      <c r="N51" s="35">
        <f t="shared" si="39"/>
        <v>179166.66666666666</v>
      </c>
      <c r="O51" s="35">
        <f t="shared" si="39"/>
        <v>179166.66666666666</v>
      </c>
      <c r="P51" s="35">
        <f t="shared" si="39"/>
        <v>179166.66666666666</v>
      </c>
      <c r="Q51" s="35">
        <f t="shared" si="39"/>
        <v>179166.66666666666</v>
      </c>
      <c r="R51" s="35">
        <f t="shared" si="39"/>
        <v>179166.66666666666</v>
      </c>
      <c r="S51" s="35">
        <f t="shared" si="39"/>
        <v>179166.66666666666</v>
      </c>
      <c r="T51" s="35">
        <f t="shared" si="39"/>
        <v>179166.66666666666</v>
      </c>
    </row>
    <row r="52" spans="2:20" x14ac:dyDescent="0.2">
      <c r="B52" s="8"/>
      <c r="C52" s="11" t="s">
        <v>40</v>
      </c>
      <c r="D52" s="10" t="s">
        <v>49</v>
      </c>
      <c r="E52" s="10" t="s">
        <v>50</v>
      </c>
      <c r="F52" s="60"/>
      <c r="G52" s="31">
        <f>Assumption!D14</f>
        <v>670000</v>
      </c>
      <c r="H52" s="31">
        <f>G52</f>
        <v>670000</v>
      </c>
      <c r="I52" s="35">
        <f>$H$52/12</f>
        <v>55833.333333333336</v>
      </c>
      <c r="J52" s="35">
        <f t="shared" ref="J52:T52" si="40">$H$52/12</f>
        <v>55833.333333333336</v>
      </c>
      <c r="K52" s="35">
        <f t="shared" si="40"/>
        <v>55833.333333333336</v>
      </c>
      <c r="L52" s="35">
        <f t="shared" si="40"/>
        <v>55833.333333333336</v>
      </c>
      <c r="M52" s="35">
        <f t="shared" si="40"/>
        <v>55833.333333333336</v>
      </c>
      <c r="N52" s="35">
        <f t="shared" si="40"/>
        <v>55833.333333333336</v>
      </c>
      <c r="O52" s="35">
        <f t="shared" si="40"/>
        <v>55833.333333333336</v>
      </c>
      <c r="P52" s="35">
        <f t="shared" si="40"/>
        <v>55833.333333333336</v>
      </c>
      <c r="Q52" s="35">
        <f t="shared" si="40"/>
        <v>55833.333333333336</v>
      </c>
      <c r="R52" s="35">
        <f t="shared" si="40"/>
        <v>55833.333333333336</v>
      </c>
      <c r="S52" s="35">
        <f t="shared" si="40"/>
        <v>55833.333333333336</v>
      </c>
      <c r="T52" s="35">
        <f t="shared" si="40"/>
        <v>55833.333333333336</v>
      </c>
    </row>
    <row r="53" spans="2:20" x14ac:dyDescent="0.2">
      <c r="B53" s="8"/>
      <c r="C53" s="14" t="s">
        <v>41</v>
      </c>
      <c r="D53" s="11"/>
      <c r="E53" s="11"/>
      <c r="F53" s="10"/>
      <c r="G53" s="8"/>
      <c r="H53" s="50">
        <f>SUM(H45:H52)</f>
        <v>34461650</v>
      </c>
      <c r="I53" s="50">
        <f t="shared" ref="I53:T53" si="41">SUM(I45:I52)</f>
        <v>2453115.5</v>
      </c>
      <c r="J53" s="50">
        <f t="shared" si="41"/>
        <v>2515918.7999999998</v>
      </c>
      <c r="K53" s="50">
        <f t="shared" si="41"/>
        <v>2578722.1</v>
      </c>
      <c r="L53" s="50">
        <f t="shared" si="41"/>
        <v>2641525.4</v>
      </c>
      <c r="M53" s="50">
        <f t="shared" si="41"/>
        <v>2924140.25</v>
      </c>
      <c r="N53" s="50">
        <f t="shared" si="41"/>
        <v>3238156.75</v>
      </c>
      <c r="O53" s="50">
        <f t="shared" si="41"/>
        <v>3332361.7</v>
      </c>
      <c r="P53" s="50">
        <f t="shared" si="41"/>
        <v>3395165</v>
      </c>
      <c r="Q53" s="50">
        <f t="shared" si="41"/>
        <v>3269558.4</v>
      </c>
      <c r="R53" s="50">
        <f t="shared" si="41"/>
        <v>2861336.95</v>
      </c>
      <c r="S53" s="50">
        <f t="shared" si="41"/>
        <v>2798533.65</v>
      </c>
      <c r="T53" s="50">
        <f t="shared" si="41"/>
        <v>2453115.5</v>
      </c>
    </row>
    <row r="55" spans="2:20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2">
      <c r="B56" s="8"/>
      <c r="C56" s="9" t="s">
        <v>66</v>
      </c>
      <c r="D56" s="8"/>
      <c r="E56" s="8"/>
      <c r="F56" s="8"/>
      <c r="G56" s="8"/>
      <c r="H56" s="50">
        <f>H35+H42+H53</f>
        <v>52674635.948959999</v>
      </c>
      <c r="I56" s="35">
        <f>I35+I42+I53</f>
        <v>3970864.3290800001</v>
      </c>
      <c r="J56" s="35">
        <f t="shared" ref="J56:T56" si="42">J35+J42+J53</f>
        <v>4033667.6290799999</v>
      </c>
      <c r="K56" s="35">
        <f t="shared" si="42"/>
        <v>4096470.9290800001</v>
      </c>
      <c r="L56" s="35">
        <f t="shared" si="42"/>
        <v>4159274.22908</v>
      </c>
      <c r="M56" s="35">
        <f t="shared" si="42"/>
        <v>4441889.0790800005</v>
      </c>
      <c r="N56" s="35">
        <f t="shared" si="42"/>
        <v>4755905.5790800005</v>
      </c>
      <c r="O56" s="35">
        <f t="shared" si="42"/>
        <v>4850110.5290799998</v>
      </c>
      <c r="P56" s="35">
        <f t="shared" si="42"/>
        <v>4912913.8290800005</v>
      </c>
      <c r="Q56" s="35">
        <f t="shared" si="42"/>
        <v>4787307.22908</v>
      </c>
      <c r="R56" s="35">
        <f t="shared" si="42"/>
        <v>4379085.7790799998</v>
      </c>
      <c r="S56" s="35">
        <f t="shared" si="42"/>
        <v>4316282.47908</v>
      </c>
      <c r="T56" s="35">
        <f t="shared" si="42"/>
        <v>3970864.3290800001</v>
      </c>
    </row>
    <row r="57" spans="2:20" x14ac:dyDescent="0.2">
      <c r="B57" s="8"/>
      <c r="C57" s="9" t="s">
        <v>67</v>
      </c>
      <c r="D57" s="8"/>
      <c r="E57" s="8"/>
      <c r="F57" s="8"/>
      <c r="G57" s="8"/>
      <c r="H57" s="50">
        <f>H19-H56</f>
        <v>1746763.7510400042</v>
      </c>
      <c r="I57" s="35">
        <f t="shared" ref="I57:T57" si="43">I19-I56</f>
        <v>-161366.35007999931</v>
      </c>
      <c r="J57" s="35">
        <f t="shared" si="43"/>
        <v>-115326.85068000061</v>
      </c>
      <c r="K57" s="35">
        <f t="shared" si="43"/>
        <v>-69287.351280000526</v>
      </c>
      <c r="L57" s="35">
        <f t="shared" si="43"/>
        <v>-23247.851879999973</v>
      </c>
      <c r="M57" s="35">
        <f t="shared" si="43"/>
        <v>183929.89541999996</v>
      </c>
      <c r="N57" s="35">
        <f t="shared" si="43"/>
        <v>414127.39241999947</v>
      </c>
      <c r="O57" s="35">
        <f t="shared" si="43"/>
        <v>483186.64152000006</v>
      </c>
      <c r="P57" s="35">
        <f t="shared" si="43"/>
        <v>529226.14091999922</v>
      </c>
      <c r="Q57" s="35">
        <f t="shared" si="43"/>
        <v>437147.14211999997</v>
      </c>
      <c r="R57" s="35">
        <f t="shared" si="43"/>
        <v>137890.39601999987</v>
      </c>
      <c r="S57" s="35">
        <f t="shared" si="43"/>
        <v>91850.896619999781</v>
      </c>
      <c r="T57" s="35">
        <f t="shared" si="43"/>
        <v>-161366.35007999931</v>
      </c>
    </row>
    <row r="58" spans="2:20" x14ac:dyDescent="0.2">
      <c r="B58" s="8"/>
      <c r="C58" s="9" t="s">
        <v>68</v>
      </c>
      <c r="D58" s="8"/>
      <c r="E58" s="8"/>
      <c r="F58" s="8"/>
      <c r="G58" s="8"/>
      <c r="H58" s="111">
        <f>H57/H19</f>
        <v>3.2097001559480365E-2</v>
      </c>
      <c r="I58" s="58">
        <f t="shared" ref="I58:T58" si="44">I57/I19</f>
        <v>-4.235895411141765E-2</v>
      </c>
      <c r="J58" s="58">
        <f t="shared" si="44"/>
        <v>-2.9432572918553744E-2</v>
      </c>
      <c r="K58" s="58">
        <f t="shared" si="44"/>
        <v>-1.7204915033411847E-2</v>
      </c>
      <c r="L58" s="58">
        <f t="shared" si="44"/>
        <v>-5.6208180895930999E-3</v>
      </c>
      <c r="M58" s="58">
        <f t="shared" si="44"/>
        <v>3.9761585231484493E-2</v>
      </c>
      <c r="N58" s="58">
        <f t="shared" si="44"/>
        <v>8.0101499294664508E-2</v>
      </c>
      <c r="O58" s="58">
        <f t="shared" si="44"/>
        <v>9.0598109586614545E-2</v>
      </c>
      <c r="P58" s="58">
        <f t="shared" si="44"/>
        <v>9.7245962771516009E-2</v>
      </c>
      <c r="Q58" s="58">
        <f t="shared" si="44"/>
        <v>8.3673262519008668E-2</v>
      </c>
      <c r="R58" s="58">
        <f t="shared" si="44"/>
        <v>3.052714707244325E-2</v>
      </c>
      <c r="S58" s="58">
        <f t="shared" si="44"/>
        <v>2.0836687275918486E-2</v>
      </c>
      <c r="T58" s="58">
        <f t="shared" si="44"/>
        <v>-4.235895411141765E-2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9F98-55AA-E546-822F-7F681B52EDAE}">
  <dimension ref="A1:O19"/>
  <sheetViews>
    <sheetView showGridLines="0" zoomScale="110" zoomScaleNormal="110" workbookViewId="0">
      <selection activeCell="G30" sqref="G30"/>
    </sheetView>
  </sheetViews>
  <sheetFormatPr baseColWidth="10" defaultRowHeight="16" x14ac:dyDescent="0.2"/>
  <cols>
    <col min="1" max="1" width="4.33203125" style="96" customWidth="1"/>
    <col min="2" max="2" width="29.1640625" style="1" bestFit="1" customWidth="1"/>
    <col min="3" max="3" width="17.1640625" style="1" customWidth="1"/>
    <col min="4" max="4" width="14.6640625" style="1" bestFit="1" customWidth="1"/>
    <col min="5" max="5" width="17" style="1" bestFit="1" customWidth="1"/>
    <col min="6" max="6" width="16.33203125" style="1" customWidth="1"/>
    <col min="7" max="7" width="17.6640625" style="1" customWidth="1"/>
    <col min="8" max="8" width="16.33203125" style="1" customWidth="1"/>
    <col min="9" max="9" width="17" style="1" customWidth="1"/>
    <col min="10" max="10" width="20.5" style="1" customWidth="1"/>
    <col min="11" max="11" width="14" style="1" bestFit="1" customWidth="1"/>
    <col min="12" max="12" width="16" style="1" customWidth="1"/>
    <col min="13" max="13" width="14" style="1" customWidth="1"/>
    <col min="14" max="14" width="15" style="1" bestFit="1" customWidth="1"/>
    <col min="15" max="15" width="15" style="1" customWidth="1"/>
    <col min="16" max="16384" width="10.83203125" style="1"/>
  </cols>
  <sheetData>
    <row r="1" spans="1:15" ht="28" customHeight="1" x14ac:dyDescent="0.2">
      <c r="A1" s="95"/>
      <c r="B1" s="108" t="s">
        <v>285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spans="1:15" ht="24" customHeight="1" x14ac:dyDescent="0.2">
      <c r="A2" s="95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1:15" ht="20" customHeight="1" x14ac:dyDescent="0.2">
      <c r="B4" s="17" t="s">
        <v>189</v>
      </c>
      <c r="C4" s="17" t="s">
        <v>192</v>
      </c>
    </row>
    <row r="5" spans="1:15" x14ac:dyDescent="0.2">
      <c r="B5" s="8" t="s">
        <v>25</v>
      </c>
      <c r="C5" s="28">
        <f>'Detailed Budget'!H19</f>
        <v>54421399.700000003</v>
      </c>
    </row>
    <row r="6" spans="1:15" x14ac:dyDescent="0.2">
      <c r="B6" s="8" t="s">
        <v>190</v>
      </c>
      <c r="C6" s="28">
        <f>'Detailed Budget'!H35+'Detailed Budget'!H42+'Detailed Budget'!H53</f>
        <v>52674635.948959999</v>
      </c>
    </row>
    <row r="7" spans="1:15" x14ac:dyDescent="0.2">
      <c r="B7" s="8" t="s">
        <v>67</v>
      </c>
      <c r="C7" s="28">
        <f>'Detailed Budget'!H57</f>
        <v>1746763.7510400042</v>
      </c>
    </row>
    <row r="8" spans="1:15" x14ac:dyDescent="0.2">
      <c r="B8" s="8" t="s">
        <v>68</v>
      </c>
      <c r="C8" s="58">
        <f>'Detailed Budget'!H58</f>
        <v>3.2097001559480365E-2</v>
      </c>
    </row>
    <row r="10" spans="1:15" ht="36" customHeight="1" x14ac:dyDescent="0.2">
      <c r="B10" s="91" t="s">
        <v>191</v>
      </c>
      <c r="C10" s="91" t="s">
        <v>42</v>
      </c>
      <c r="D10" s="91" t="s">
        <v>193</v>
      </c>
      <c r="E10" s="91" t="s">
        <v>194</v>
      </c>
      <c r="F10" s="91" t="s">
        <v>195</v>
      </c>
      <c r="G10" s="91" t="s">
        <v>196</v>
      </c>
      <c r="H10" s="91" t="s">
        <v>197</v>
      </c>
      <c r="I10" s="91" t="s">
        <v>198</v>
      </c>
      <c r="J10" s="91" t="s">
        <v>199</v>
      </c>
      <c r="K10" s="91" t="s">
        <v>203</v>
      </c>
      <c r="L10" s="91" t="s">
        <v>200</v>
      </c>
      <c r="M10" s="91" t="s">
        <v>201</v>
      </c>
      <c r="N10" s="91" t="s">
        <v>202</v>
      </c>
      <c r="O10" s="91" t="s">
        <v>204</v>
      </c>
    </row>
    <row r="11" spans="1:15" x14ac:dyDescent="0.2">
      <c r="B11" s="11" t="s">
        <v>8</v>
      </c>
      <c r="C11" s="10">
        <f>Assumption!C31</f>
        <v>400</v>
      </c>
      <c r="D11" s="143">
        <f>Assumption!F31</f>
        <v>13930.4</v>
      </c>
      <c r="E11" s="143">
        <f>Assumption!G31</f>
        <v>5572160</v>
      </c>
      <c r="F11" s="143">
        <f>Assumption!D18</f>
        <v>1300</v>
      </c>
      <c r="G11" s="143">
        <f>Assumption!$D$19</f>
        <v>385</v>
      </c>
      <c r="H11" s="143">
        <f>Assumption!$D$9+Assumption!$D$10</f>
        <v>1630</v>
      </c>
      <c r="I11" s="143">
        <f>F11+G11+H11</f>
        <v>3315</v>
      </c>
      <c r="J11" s="143">
        <f>I11*C11</f>
        <v>1326000</v>
      </c>
      <c r="K11" s="144">
        <f>E11-J11</f>
        <v>4246160</v>
      </c>
      <c r="L11" s="93">
        <f>K11/E11</f>
        <v>0.76203124102681907</v>
      </c>
      <c r="M11" s="143">
        <f>Assumption!$D$7</f>
        <v>3000</v>
      </c>
      <c r="N11" s="144">
        <f>K11-(M11*C11)</f>
        <v>3046160</v>
      </c>
      <c r="O11" s="145">
        <f>N11/E11</f>
        <v>0.54667489806466429</v>
      </c>
    </row>
    <row r="12" spans="1:15" x14ac:dyDescent="0.2">
      <c r="B12" s="11" t="s">
        <v>9</v>
      </c>
      <c r="C12" s="10">
        <f>Assumption!C32</f>
        <v>300</v>
      </c>
      <c r="D12" s="143">
        <f>Assumption!F32</f>
        <v>25961.200000000001</v>
      </c>
      <c r="E12" s="143">
        <f>Assumption!G32</f>
        <v>7788360</v>
      </c>
      <c r="F12" s="143">
        <f>Assumption!D17</f>
        <v>8150</v>
      </c>
      <c r="G12" s="143">
        <f>Assumption!$D$19</f>
        <v>385</v>
      </c>
      <c r="H12" s="143">
        <f>Assumption!$D$9+Assumption!$D$10</f>
        <v>1630</v>
      </c>
      <c r="I12" s="143">
        <f t="shared" ref="I12:I18" si="0">F12+G12+H12</f>
        <v>10165</v>
      </c>
      <c r="J12" s="143">
        <f t="shared" ref="J12:J18" si="1">I12*C12</f>
        <v>3049500</v>
      </c>
      <c r="K12" s="144">
        <f t="shared" ref="K12:K18" si="2">E12-J12</f>
        <v>4738860</v>
      </c>
      <c r="L12" s="93">
        <f t="shared" ref="L12:L18" si="3">K12/E12</f>
        <v>0.60845415466157193</v>
      </c>
      <c r="M12" s="143">
        <f>Assumption!$D$7+Assumption!$D$8</f>
        <v>14000</v>
      </c>
      <c r="N12" s="144">
        <f t="shared" ref="N12:N18" si="4">K12-(M12*C12)</f>
        <v>538860</v>
      </c>
      <c r="O12" s="145">
        <f t="shared" ref="O12:O18" si="5">N12/E12</f>
        <v>6.9187864967721058E-2</v>
      </c>
    </row>
    <row r="13" spans="1:15" x14ac:dyDescent="0.2">
      <c r="B13" s="11" t="s">
        <v>10</v>
      </c>
      <c r="C13" s="10">
        <f>Assumption!C33</f>
        <v>350</v>
      </c>
      <c r="D13" s="143">
        <f>Assumption!F33</f>
        <v>27322.579999999998</v>
      </c>
      <c r="E13" s="143">
        <f>Assumption!G33</f>
        <v>9562903</v>
      </c>
      <c r="F13" s="143">
        <f>Assumption!D17</f>
        <v>8150</v>
      </c>
      <c r="G13" s="143">
        <f>Assumption!$D$19</f>
        <v>385</v>
      </c>
      <c r="H13" s="143">
        <f>Assumption!$D$9+Assumption!$D$10</f>
        <v>1630</v>
      </c>
      <c r="I13" s="143">
        <f t="shared" si="0"/>
        <v>10165</v>
      </c>
      <c r="J13" s="143">
        <f t="shared" si="1"/>
        <v>3557750</v>
      </c>
      <c r="K13" s="144">
        <f t="shared" si="2"/>
        <v>6005153</v>
      </c>
      <c r="L13" s="93">
        <f t="shared" si="3"/>
        <v>0.62796339145131974</v>
      </c>
      <c r="M13" s="143">
        <f>Assumption!$D$7+Assumption!$D$8</f>
        <v>14000</v>
      </c>
      <c r="N13" s="144">
        <f t="shared" si="4"/>
        <v>1105153</v>
      </c>
      <c r="O13" s="145">
        <f t="shared" si="5"/>
        <v>0.11556668513734794</v>
      </c>
    </row>
    <row r="14" spans="1:15" x14ac:dyDescent="0.2">
      <c r="B14" s="11" t="s">
        <v>11</v>
      </c>
      <c r="C14" s="10">
        <f>Assumption!C34</f>
        <v>500</v>
      </c>
      <c r="D14" s="143">
        <f>Assumption!F34</f>
        <v>8896.4599999999991</v>
      </c>
      <c r="E14" s="143">
        <f>Assumption!G34</f>
        <v>4448230</v>
      </c>
      <c r="F14" s="143">
        <f>Assumption!D18</f>
        <v>1300</v>
      </c>
      <c r="G14" s="143">
        <f>Assumption!$D$19</f>
        <v>385</v>
      </c>
      <c r="H14" s="143">
        <f>Assumption!$D$9+Assumption!$D$10</f>
        <v>1630</v>
      </c>
      <c r="I14" s="143">
        <f t="shared" si="0"/>
        <v>3315</v>
      </c>
      <c r="J14" s="143">
        <f t="shared" si="1"/>
        <v>1657500</v>
      </c>
      <c r="K14" s="144">
        <f t="shared" si="2"/>
        <v>2790730</v>
      </c>
      <c r="L14" s="93">
        <f t="shared" si="3"/>
        <v>0.62737987918790172</v>
      </c>
      <c r="M14" s="143">
        <f>Assumption!$D$7</f>
        <v>3000</v>
      </c>
      <c r="N14" s="144">
        <f t="shared" si="4"/>
        <v>1290730</v>
      </c>
      <c r="O14" s="145">
        <f t="shared" si="5"/>
        <v>0.29016710017242814</v>
      </c>
    </row>
    <row r="15" spans="1:15" x14ac:dyDescent="0.2">
      <c r="B15" s="11" t="s">
        <v>12</v>
      </c>
      <c r="C15" s="10">
        <f>Assumption!C35</f>
        <v>430</v>
      </c>
      <c r="D15" s="143">
        <f>Assumption!F35</f>
        <v>15006.84</v>
      </c>
      <c r="E15" s="143">
        <f>Assumption!G35</f>
        <v>6452941.2000000002</v>
      </c>
      <c r="F15" s="143">
        <f>Assumption!D18</f>
        <v>1300</v>
      </c>
      <c r="G15" s="143">
        <f>Assumption!$D$19</f>
        <v>385</v>
      </c>
      <c r="H15" s="143">
        <f>Assumption!$D$9+Assumption!$D$10</f>
        <v>1630</v>
      </c>
      <c r="I15" s="143">
        <f t="shared" si="0"/>
        <v>3315</v>
      </c>
      <c r="J15" s="143">
        <f t="shared" si="1"/>
        <v>1425450</v>
      </c>
      <c r="K15" s="144">
        <f t="shared" si="2"/>
        <v>5027491.2</v>
      </c>
      <c r="L15" s="93">
        <f t="shared" si="3"/>
        <v>0.77910073006708946</v>
      </c>
      <c r="M15" s="143">
        <f>Assumption!$D$7</f>
        <v>3000</v>
      </c>
      <c r="N15" s="144">
        <f t="shared" si="4"/>
        <v>3737491.2</v>
      </c>
      <c r="O15" s="145">
        <f t="shared" si="5"/>
        <v>0.57919188849884451</v>
      </c>
    </row>
    <row r="16" spans="1:15" x14ac:dyDescent="0.2">
      <c r="B16" s="11" t="s">
        <v>13</v>
      </c>
      <c r="C16" s="10">
        <f>Assumption!C36</f>
        <v>325</v>
      </c>
      <c r="D16" s="143">
        <f>Assumption!F36</f>
        <v>11682.539999999999</v>
      </c>
      <c r="E16" s="143">
        <f>Assumption!G36</f>
        <v>3796825.4999999995</v>
      </c>
      <c r="F16" s="143">
        <f>Assumption!D18</f>
        <v>1300</v>
      </c>
      <c r="G16" s="143">
        <f>Assumption!$D$19</f>
        <v>385</v>
      </c>
      <c r="H16" s="143">
        <f>Assumption!$D$9+Assumption!$D$10</f>
        <v>1630</v>
      </c>
      <c r="I16" s="143">
        <f t="shared" si="0"/>
        <v>3315</v>
      </c>
      <c r="J16" s="143">
        <f t="shared" si="1"/>
        <v>1077375</v>
      </c>
      <c r="K16" s="144">
        <f t="shared" si="2"/>
        <v>2719450.4999999995</v>
      </c>
      <c r="L16" s="93">
        <f t="shared" si="3"/>
        <v>0.71624321423252135</v>
      </c>
      <c r="M16" s="143">
        <f>Assumption!$D$7+Assumption!$D$8</f>
        <v>14000</v>
      </c>
      <c r="N16" s="144">
        <f t="shared" si="4"/>
        <v>-1830549.5000000005</v>
      </c>
      <c r="O16" s="145">
        <f t="shared" si="5"/>
        <v>-0.48212631842048065</v>
      </c>
    </row>
    <row r="17" spans="2:15" x14ac:dyDescent="0.2">
      <c r="B17" s="11" t="s">
        <v>14</v>
      </c>
      <c r="C17" s="10">
        <f>Assumption!C37</f>
        <v>700</v>
      </c>
      <c r="D17" s="143">
        <f>Assumption!F37</f>
        <v>5398.03</v>
      </c>
      <c r="E17" s="143">
        <f>Assumption!G37</f>
        <v>3778621</v>
      </c>
      <c r="F17" s="143">
        <f>Assumption!D18</f>
        <v>1300</v>
      </c>
      <c r="G17" s="143">
        <f>Assumption!$D$19</f>
        <v>385</v>
      </c>
      <c r="H17" s="143">
        <f>Assumption!$D$9+Assumption!$D$10</f>
        <v>1630</v>
      </c>
      <c r="I17" s="143">
        <f t="shared" si="0"/>
        <v>3315</v>
      </c>
      <c r="J17" s="143">
        <f t="shared" si="1"/>
        <v>2320500</v>
      </c>
      <c r="K17" s="144">
        <f t="shared" si="2"/>
        <v>1458121</v>
      </c>
      <c r="L17" s="93">
        <f t="shared" si="3"/>
        <v>0.38588707361759755</v>
      </c>
      <c r="M17" s="143">
        <f>Assumption!$D$7</f>
        <v>3000</v>
      </c>
      <c r="N17" s="144">
        <f t="shared" si="4"/>
        <v>-641879</v>
      </c>
      <c r="O17" s="145">
        <f t="shared" si="5"/>
        <v>-0.16987123080086625</v>
      </c>
    </row>
    <row r="18" spans="2:15" x14ac:dyDescent="0.2">
      <c r="B18" s="11" t="s">
        <v>15</v>
      </c>
      <c r="C18" s="10">
        <f>Assumption!C38</f>
        <v>450</v>
      </c>
      <c r="D18" s="143">
        <f>Assumption!F38</f>
        <v>9403.02</v>
      </c>
      <c r="E18" s="143">
        <f>Assumption!G38</f>
        <v>4231359</v>
      </c>
      <c r="F18" s="143">
        <f>Assumption!D18</f>
        <v>1300</v>
      </c>
      <c r="G18" s="143">
        <f>Assumption!$D$19</f>
        <v>385</v>
      </c>
      <c r="H18" s="143">
        <f>Assumption!$D$9+Assumption!$D$10</f>
        <v>1630</v>
      </c>
      <c r="I18" s="143">
        <f t="shared" si="0"/>
        <v>3315</v>
      </c>
      <c r="J18" s="143">
        <f t="shared" si="1"/>
        <v>1491750</v>
      </c>
      <c r="K18" s="144">
        <f t="shared" si="2"/>
        <v>2739609</v>
      </c>
      <c r="L18" s="93">
        <f t="shared" si="3"/>
        <v>0.64745369041010226</v>
      </c>
      <c r="M18" s="143">
        <f>Assumption!$D$7</f>
        <v>3000</v>
      </c>
      <c r="N18" s="144">
        <f t="shared" si="4"/>
        <v>1389609</v>
      </c>
      <c r="O18" s="145">
        <f t="shared" si="5"/>
        <v>0.32840725639209528</v>
      </c>
    </row>
    <row r="19" spans="2:15" x14ac:dyDescent="0.2">
      <c r="B19" s="14" t="s">
        <v>120</v>
      </c>
      <c r="C19" s="139">
        <f>Assumption!C39</f>
        <v>3455</v>
      </c>
      <c r="D19" s="146"/>
      <c r="E19" s="147">
        <f>SUM(E11:E18)</f>
        <v>45631399.700000003</v>
      </c>
      <c r="F19" s="146"/>
      <c r="G19" s="146"/>
      <c r="H19" s="146"/>
      <c r="I19" s="146"/>
      <c r="J19" s="146"/>
      <c r="K19" s="146"/>
      <c r="L19" s="146"/>
      <c r="M19" s="146"/>
      <c r="N19" s="146"/>
      <c r="O19" s="148"/>
    </row>
  </sheetData>
  <mergeCells count="1">
    <mergeCell ref="B1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2EED-C7A5-ED4C-952E-E40DB9246F8A}">
  <dimension ref="B1:J47"/>
  <sheetViews>
    <sheetView showGridLines="0" workbookViewId="0">
      <selection activeCell="F45" sqref="F45"/>
    </sheetView>
  </sheetViews>
  <sheetFormatPr baseColWidth="10" defaultRowHeight="16" x14ac:dyDescent="0.2"/>
  <cols>
    <col min="1" max="1" width="6.1640625" style="1" customWidth="1"/>
    <col min="2" max="2" width="34.1640625" style="1" customWidth="1"/>
    <col min="3" max="3" width="15.5" style="1" bestFit="1" customWidth="1"/>
    <col min="4" max="4" width="16.1640625" style="1" customWidth="1"/>
    <col min="5" max="5" width="19.33203125" style="1" customWidth="1"/>
    <col min="6" max="6" width="17.5" style="1" bestFit="1" customWidth="1"/>
    <col min="7" max="7" width="15.6640625" style="1" bestFit="1" customWidth="1"/>
    <col min="8" max="16384" width="10.83203125" style="1"/>
  </cols>
  <sheetData>
    <row r="1" spans="2:7" x14ac:dyDescent="0.2">
      <c r="B1" s="109" t="s">
        <v>286</v>
      </c>
      <c r="C1" s="109"/>
      <c r="D1" s="109"/>
      <c r="E1" s="109"/>
      <c r="F1" s="109"/>
      <c r="G1" s="109"/>
    </row>
    <row r="2" spans="2:7" ht="35" customHeight="1" x14ac:dyDescent="0.2">
      <c r="B2" s="109"/>
      <c r="C2" s="109"/>
      <c r="D2" s="109"/>
      <c r="E2" s="109"/>
      <c r="F2" s="109"/>
      <c r="G2" s="109"/>
    </row>
    <row r="5" spans="2:7" ht="16" customHeight="1" x14ac:dyDescent="0.2">
      <c r="B5" s="22" t="s">
        <v>226</v>
      </c>
      <c r="C5" s="23"/>
      <c r="D5" s="23"/>
      <c r="E5" s="23"/>
      <c r="F5" s="23"/>
      <c r="G5" s="23"/>
    </row>
    <row r="7" spans="2:7" ht="25" customHeight="1" x14ac:dyDescent="0.2">
      <c r="B7" s="17" t="s">
        <v>227</v>
      </c>
      <c r="C7" s="17" t="s">
        <v>95</v>
      </c>
      <c r="D7" s="17" t="s">
        <v>228</v>
      </c>
      <c r="E7" s="17" t="s">
        <v>229</v>
      </c>
      <c r="F7" s="17" t="s">
        <v>230</v>
      </c>
      <c r="G7" s="17" t="s">
        <v>231</v>
      </c>
    </row>
    <row r="8" spans="2:7" x14ac:dyDescent="0.2">
      <c r="B8" s="8" t="s">
        <v>8</v>
      </c>
      <c r="C8" s="8">
        <f>Assumption!C31</f>
        <v>400</v>
      </c>
      <c r="D8" s="8">
        <v>85</v>
      </c>
      <c r="E8" s="8">
        <f>'Analysis Input'!$C$9</f>
        <v>20</v>
      </c>
      <c r="F8" s="8">
        <f>(D8+E8)*C8</f>
        <v>42000</v>
      </c>
      <c r="G8" s="61">
        <f>F8/60</f>
        <v>700</v>
      </c>
    </row>
    <row r="9" spans="2:7" x14ac:dyDescent="0.2">
      <c r="B9" s="8" t="s">
        <v>9</v>
      </c>
      <c r="C9" s="8">
        <f>Assumption!C32</f>
        <v>300</v>
      </c>
      <c r="D9" s="8">
        <f>'Analysis Input'!C20</f>
        <v>95</v>
      </c>
      <c r="E9" s="8">
        <f>'Analysis Input'!$C$9</f>
        <v>20</v>
      </c>
      <c r="F9" s="8">
        <f t="shared" ref="F9:F15" si="0">(D9+E9)*C9</f>
        <v>34500</v>
      </c>
      <c r="G9" s="61">
        <f t="shared" ref="G9:G15" si="1">F9/60</f>
        <v>575</v>
      </c>
    </row>
    <row r="10" spans="2:7" x14ac:dyDescent="0.2">
      <c r="B10" s="8" t="s">
        <v>10</v>
      </c>
      <c r="C10" s="8">
        <f>Assumption!C33</f>
        <v>350</v>
      </c>
      <c r="D10" s="8">
        <f>'Analysis Input'!C21</f>
        <v>90</v>
      </c>
      <c r="E10" s="8">
        <f>'Analysis Input'!$C$9</f>
        <v>20</v>
      </c>
      <c r="F10" s="8">
        <f t="shared" si="0"/>
        <v>38500</v>
      </c>
      <c r="G10" s="61">
        <f t="shared" si="1"/>
        <v>641.66666666666663</v>
      </c>
    </row>
    <row r="11" spans="2:7" x14ac:dyDescent="0.2">
      <c r="B11" s="8" t="s">
        <v>11</v>
      </c>
      <c r="C11" s="8">
        <f>Assumption!C34</f>
        <v>500</v>
      </c>
      <c r="D11" s="8">
        <f>'Analysis Input'!C22</f>
        <v>50</v>
      </c>
      <c r="E11" s="8">
        <f>'Analysis Input'!$C$9</f>
        <v>20</v>
      </c>
      <c r="F11" s="8">
        <f t="shared" si="0"/>
        <v>35000</v>
      </c>
      <c r="G11" s="61">
        <f t="shared" si="1"/>
        <v>583.33333333333337</v>
      </c>
    </row>
    <row r="12" spans="2:7" x14ac:dyDescent="0.2">
      <c r="B12" s="8" t="s">
        <v>12</v>
      </c>
      <c r="C12" s="8">
        <f>Assumption!C35</f>
        <v>430</v>
      </c>
      <c r="D12" s="8">
        <v>80</v>
      </c>
      <c r="E12" s="8">
        <f>'Analysis Input'!$C$9</f>
        <v>20</v>
      </c>
      <c r="F12" s="8">
        <f t="shared" si="0"/>
        <v>43000</v>
      </c>
      <c r="G12" s="61">
        <f t="shared" si="1"/>
        <v>716.66666666666663</v>
      </c>
    </row>
    <row r="13" spans="2:7" x14ac:dyDescent="0.2">
      <c r="B13" s="8" t="s">
        <v>13</v>
      </c>
      <c r="C13" s="8">
        <f>Assumption!C36</f>
        <v>325</v>
      </c>
      <c r="D13" s="8">
        <v>55</v>
      </c>
      <c r="E13" s="8">
        <f>'Analysis Input'!$C$9</f>
        <v>20</v>
      </c>
      <c r="F13" s="8">
        <f t="shared" si="0"/>
        <v>24375</v>
      </c>
      <c r="G13" s="61">
        <f t="shared" si="1"/>
        <v>406.25</v>
      </c>
    </row>
    <row r="14" spans="2:7" x14ac:dyDescent="0.2">
      <c r="B14" s="8" t="s">
        <v>14</v>
      </c>
      <c r="C14" s="8">
        <f>Assumption!C37</f>
        <v>700</v>
      </c>
      <c r="D14" s="8">
        <f>'Analysis Input'!C25</f>
        <v>40</v>
      </c>
      <c r="E14" s="8">
        <f>'Analysis Input'!$C$9</f>
        <v>20</v>
      </c>
      <c r="F14" s="8">
        <f t="shared" si="0"/>
        <v>42000</v>
      </c>
      <c r="G14" s="61">
        <f t="shared" si="1"/>
        <v>700</v>
      </c>
    </row>
    <row r="15" spans="2:7" x14ac:dyDescent="0.2">
      <c r="B15" s="8" t="s">
        <v>15</v>
      </c>
      <c r="C15" s="8">
        <f>Assumption!C38</f>
        <v>450</v>
      </c>
      <c r="D15" s="8">
        <f>'Analysis Input'!C26</f>
        <v>60</v>
      </c>
      <c r="E15" s="8">
        <f>'Analysis Input'!$C$9</f>
        <v>20</v>
      </c>
      <c r="F15" s="8">
        <f t="shared" si="0"/>
        <v>36000</v>
      </c>
      <c r="G15" s="61">
        <f t="shared" si="1"/>
        <v>600</v>
      </c>
    </row>
    <row r="16" spans="2:7" x14ac:dyDescent="0.2">
      <c r="B16" s="9" t="s">
        <v>232</v>
      </c>
      <c r="C16" s="9">
        <f>SUM(C8:C15)</f>
        <v>3455</v>
      </c>
      <c r="D16" s="8"/>
      <c r="E16" s="8"/>
      <c r="F16" s="8"/>
      <c r="G16" s="41">
        <f>SUM(G8:G15)</f>
        <v>4922.9166666666661</v>
      </c>
    </row>
    <row r="18" spans="2:10" ht="19" customHeight="1" x14ac:dyDescent="0.2">
      <c r="B18" s="17" t="s">
        <v>233</v>
      </c>
      <c r="C18" s="17" t="s">
        <v>225</v>
      </c>
    </row>
    <row r="19" spans="2:10" x14ac:dyDescent="0.2">
      <c r="B19" s="8" t="s">
        <v>269</v>
      </c>
      <c r="C19" s="61">
        <f>G16</f>
        <v>4922.9166666666661</v>
      </c>
    </row>
    <row r="20" spans="2:10" x14ac:dyDescent="0.2">
      <c r="B20" s="8" t="s">
        <v>270</v>
      </c>
      <c r="C20" s="8">
        <f>'Analysis Input'!C7*'Analysis Input'!C8</f>
        <v>4500</v>
      </c>
    </row>
    <row r="21" spans="2:10" x14ac:dyDescent="0.2">
      <c r="B21" s="8" t="s">
        <v>271</v>
      </c>
      <c r="C21" s="53">
        <f>C19/C20</f>
        <v>1.0939814814814814</v>
      </c>
    </row>
    <row r="22" spans="2:10" x14ac:dyDescent="0.2">
      <c r="B22" s="8" t="s">
        <v>272</v>
      </c>
      <c r="C22" s="49">
        <f>C20-C19</f>
        <v>-422.91666666666606</v>
      </c>
    </row>
    <row r="23" spans="2:10" x14ac:dyDescent="0.2">
      <c r="J23" s="1" t="s">
        <v>281</v>
      </c>
    </row>
    <row r="24" spans="2:10" x14ac:dyDescent="0.2">
      <c r="B24" s="22" t="s">
        <v>234</v>
      </c>
      <c r="C24" s="22"/>
      <c r="D24" s="22"/>
      <c r="E24" s="22"/>
      <c r="F24" s="22"/>
    </row>
    <row r="26" spans="2:10" ht="37" customHeight="1" x14ac:dyDescent="0.2">
      <c r="B26" s="91" t="s">
        <v>235</v>
      </c>
      <c r="C26" s="91" t="s">
        <v>236</v>
      </c>
      <c r="D26" s="91" t="s">
        <v>237</v>
      </c>
      <c r="E26" s="91" t="s">
        <v>238</v>
      </c>
      <c r="F26" s="91" t="s">
        <v>239</v>
      </c>
    </row>
    <row r="27" spans="2:10" x14ac:dyDescent="0.2">
      <c r="B27" s="10" t="s">
        <v>54</v>
      </c>
      <c r="C27" s="149">
        <f>HLOOKUP(B27,Assumption!$F$5:$Q$6,2)</f>
        <v>7.4999999999999997E-2</v>
      </c>
      <c r="D27" s="150">
        <f>C27*$C$19</f>
        <v>369.21874999999994</v>
      </c>
      <c r="E27" s="138">
        <f>$C$20/12</f>
        <v>375</v>
      </c>
      <c r="F27" s="92">
        <f>D27/E27</f>
        <v>0.98458333333333314</v>
      </c>
    </row>
    <row r="28" spans="2:10" x14ac:dyDescent="0.2">
      <c r="B28" s="10" t="s">
        <v>55</v>
      </c>
      <c r="C28" s="149">
        <f>Assumption!G6</f>
        <v>7.4999999999999997E-2</v>
      </c>
      <c r="D28" s="150">
        <f t="shared" ref="D28:D38" si="2">C28*$C$19</f>
        <v>369.21874999999994</v>
      </c>
      <c r="E28" s="138">
        <f t="shared" ref="E28:E38" si="3">$C$20/12</f>
        <v>375</v>
      </c>
      <c r="F28" s="92">
        <f t="shared" ref="F28:F38" si="4">D28/E28</f>
        <v>0.98458333333333314</v>
      </c>
    </row>
    <row r="29" spans="2:10" x14ac:dyDescent="0.2">
      <c r="B29" s="10" t="s">
        <v>56</v>
      </c>
      <c r="C29" s="149">
        <f>HLOOKUP(B29,Assumption!$F$5:$Q$6,2)</f>
        <v>8.6999999999999994E-2</v>
      </c>
      <c r="D29" s="150">
        <f t="shared" si="2"/>
        <v>428.29374999999993</v>
      </c>
      <c r="E29" s="138">
        <f t="shared" si="3"/>
        <v>375</v>
      </c>
      <c r="F29" s="92">
        <f t="shared" si="4"/>
        <v>1.1421166666666664</v>
      </c>
    </row>
    <row r="30" spans="2:10" x14ac:dyDescent="0.2">
      <c r="B30" s="10" t="s">
        <v>57</v>
      </c>
      <c r="C30" s="149">
        <f>Assumption!I6</f>
        <v>8.3000000000000004E-2</v>
      </c>
      <c r="D30" s="150">
        <f t="shared" si="2"/>
        <v>408.60208333333333</v>
      </c>
      <c r="E30" s="138">
        <f t="shared" si="3"/>
        <v>375</v>
      </c>
      <c r="F30" s="92">
        <f t="shared" si="4"/>
        <v>1.0896055555555555</v>
      </c>
    </row>
    <row r="31" spans="2:10" x14ac:dyDescent="0.2">
      <c r="B31" s="10" t="s">
        <v>58</v>
      </c>
      <c r="C31" s="149">
        <f>HLOOKUP(B31,Assumption!$F$5:$Q$6,2)</f>
        <v>8.6999999999999994E-2</v>
      </c>
      <c r="D31" s="150">
        <f t="shared" si="2"/>
        <v>428.29374999999993</v>
      </c>
      <c r="E31" s="138">
        <f t="shared" si="3"/>
        <v>375</v>
      </c>
      <c r="F31" s="92">
        <f t="shared" si="4"/>
        <v>1.1421166666666664</v>
      </c>
    </row>
    <row r="32" spans="2:10" x14ac:dyDescent="0.2">
      <c r="B32" s="10" t="s">
        <v>59</v>
      </c>
      <c r="C32" s="149">
        <f>HLOOKUP(B32,Assumption!$F$5:$Q$6,2)</f>
        <v>8.5999999999999993E-2</v>
      </c>
      <c r="D32" s="150">
        <f t="shared" si="2"/>
        <v>423.37083333333322</v>
      </c>
      <c r="E32" s="138">
        <f t="shared" si="3"/>
        <v>375</v>
      </c>
      <c r="F32" s="92">
        <f t="shared" si="4"/>
        <v>1.1289888888888886</v>
      </c>
    </row>
    <row r="33" spans="2:6" x14ac:dyDescent="0.2">
      <c r="B33" s="10" t="s">
        <v>60</v>
      </c>
      <c r="C33" s="149">
        <f>HLOOKUP(B33,Assumption!$F$5:$Q$6,2)</f>
        <v>7.4999999999999997E-2</v>
      </c>
      <c r="D33" s="150">
        <f t="shared" si="2"/>
        <v>369.21874999999994</v>
      </c>
      <c r="E33" s="138">
        <f t="shared" si="3"/>
        <v>375</v>
      </c>
      <c r="F33" s="92">
        <f t="shared" si="4"/>
        <v>0.98458333333333314</v>
      </c>
    </row>
    <row r="34" spans="2:6" x14ac:dyDescent="0.2">
      <c r="B34" s="10" t="s">
        <v>61</v>
      </c>
      <c r="C34" s="149">
        <f>Assumption!M6</f>
        <v>8.6999999999999994E-2</v>
      </c>
      <c r="D34" s="150">
        <f t="shared" si="2"/>
        <v>428.29374999999993</v>
      </c>
      <c r="E34" s="138">
        <f t="shared" si="3"/>
        <v>375</v>
      </c>
      <c r="F34" s="92">
        <f t="shared" si="4"/>
        <v>1.1421166666666664</v>
      </c>
    </row>
    <row r="35" spans="2:6" x14ac:dyDescent="0.2">
      <c r="B35" s="10" t="s">
        <v>62</v>
      </c>
      <c r="C35" s="149">
        <f>HLOOKUP(B35,Assumption!$F$5:$Q$6,2)</f>
        <v>8.4000000000000005E-2</v>
      </c>
      <c r="D35" s="150">
        <f t="shared" si="2"/>
        <v>413.52499999999998</v>
      </c>
      <c r="E35" s="138">
        <f t="shared" si="3"/>
        <v>375</v>
      </c>
      <c r="F35" s="92">
        <f t="shared" si="4"/>
        <v>1.1027333333333333</v>
      </c>
    </row>
    <row r="36" spans="2:6" x14ac:dyDescent="0.2">
      <c r="B36" s="10" t="s">
        <v>63</v>
      </c>
      <c r="C36" s="149">
        <f>HLOOKUP(B36,Assumption!$F$5:$Q$6,2)</f>
        <v>8.6999999999999994E-2</v>
      </c>
      <c r="D36" s="150">
        <f t="shared" si="2"/>
        <v>428.29374999999993</v>
      </c>
      <c r="E36" s="138">
        <f t="shared" si="3"/>
        <v>375</v>
      </c>
      <c r="F36" s="92">
        <f t="shared" si="4"/>
        <v>1.1421166666666664</v>
      </c>
    </row>
    <row r="37" spans="2:6" x14ac:dyDescent="0.2">
      <c r="B37" s="10" t="s">
        <v>64</v>
      </c>
      <c r="C37" s="149">
        <f>HLOOKUP(B37,Assumption!$F$5:$Q$6,2)</f>
        <v>8.6999999999999994E-2</v>
      </c>
      <c r="D37" s="150">
        <f t="shared" si="2"/>
        <v>428.29374999999993</v>
      </c>
      <c r="E37" s="138">
        <f t="shared" si="3"/>
        <v>375</v>
      </c>
      <c r="F37" s="92">
        <f t="shared" si="4"/>
        <v>1.1421166666666664</v>
      </c>
    </row>
    <row r="38" spans="2:6" x14ac:dyDescent="0.2">
      <c r="B38" s="10" t="s">
        <v>65</v>
      </c>
      <c r="C38" s="149">
        <f>Assumption!Q6</f>
        <v>7.1999999999999995E-2</v>
      </c>
      <c r="D38" s="150">
        <f t="shared" si="2"/>
        <v>354.44999999999993</v>
      </c>
      <c r="E38" s="138">
        <f t="shared" si="3"/>
        <v>375</v>
      </c>
      <c r="F38" s="92">
        <f t="shared" si="4"/>
        <v>0.94519999999999982</v>
      </c>
    </row>
    <row r="40" spans="2:6" x14ac:dyDescent="0.2">
      <c r="B40" s="22" t="s">
        <v>240</v>
      </c>
      <c r="C40" s="22"/>
    </row>
    <row r="42" spans="2:6" x14ac:dyDescent="0.2">
      <c r="B42" s="17" t="s">
        <v>233</v>
      </c>
      <c r="C42" s="107" t="s">
        <v>225</v>
      </c>
    </row>
    <row r="43" spans="2:6" x14ac:dyDescent="0.2">
      <c r="B43" s="8" t="s">
        <v>273</v>
      </c>
      <c r="C43" s="61">
        <f>Assumption!C40</f>
        <v>22000</v>
      </c>
    </row>
    <row r="44" spans="2:6" x14ac:dyDescent="0.2">
      <c r="B44" s="8" t="s">
        <v>241</v>
      </c>
      <c r="C44" s="8">
        <f>Assumption!C49</f>
        <v>6</v>
      </c>
    </row>
    <row r="45" spans="2:6" x14ac:dyDescent="0.2">
      <c r="B45" s="8" t="s">
        <v>242</v>
      </c>
      <c r="C45" s="8">
        <f>Assumption!C50</f>
        <v>4</v>
      </c>
    </row>
    <row r="46" spans="2:6" x14ac:dyDescent="0.2">
      <c r="B46" s="8" t="s">
        <v>243</v>
      </c>
      <c r="C46" s="61">
        <f>((Assumption!C49*'Analysis Input'!C10)+(Assumption!C50*'Analysis Input'!C11))*'Analysis Input'!C12</f>
        <v>23520</v>
      </c>
    </row>
    <row r="47" spans="2:6" x14ac:dyDescent="0.2">
      <c r="B47" s="8" t="s">
        <v>244</v>
      </c>
      <c r="C47" s="53">
        <f>C43/C46</f>
        <v>0.93537414965986398</v>
      </c>
    </row>
  </sheetData>
  <mergeCells count="1">
    <mergeCell ref="B1:G2"/>
  </mergeCells>
  <phoneticPr fontId="5" type="noConversion"/>
  <pageMargins left="0.7" right="0.7" top="0.75" bottom="0.75" header="0.3" footer="0.3"/>
  <ignoredErrors>
    <ignoredError sqref="C28 C30 C3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4253-324B-B24F-9F7B-6E06A95B6C69}">
  <dimension ref="B1:C33"/>
  <sheetViews>
    <sheetView showGridLines="0" tabSelected="1" zoomScale="120" zoomScaleNormal="120" workbookViewId="0">
      <selection activeCell="G17" sqref="G17"/>
    </sheetView>
  </sheetViews>
  <sheetFormatPr baseColWidth="10" defaultRowHeight="16" x14ac:dyDescent="0.2"/>
  <cols>
    <col min="1" max="1" width="5.1640625" style="1" customWidth="1"/>
    <col min="2" max="2" width="47" style="1" bestFit="1" customWidth="1"/>
    <col min="3" max="3" width="17" style="1" bestFit="1" customWidth="1"/>
    <col min="4" max="16384" width="10.83203125" style="1"/>
  </cols>
  <sheetData>
    <row r="1" spans="2:3" x14ac:dyDescent="0.2">
      <c r="B1" s="109" t="s">
        <v>287</v>
      </c>
      <c r="C1" s="109"/>
    </row>
    <row r="2" spans="2:3" x14ac:dyDescent="0.2">
      <c r="B2" s="109"/>
      <c r="C2" s="109"/>
    </row>
    <row r="3" spans="2:3" x14ac:dyDescent="0.2">
      <c r="B3" s="109"/>
      <c r="C3" s="109"/>
    </row>
    <row r="5" spans="2:3" ht="22" customHeight="1" x14ac:dyDescent="0.2">
      <c r="B5" s="97" t="s">
        <v>298</v>
      </c>
      <c r="C5" s="98"/>
    </row>
    <row r="6" spans="2:3" x14ac:dyDescent="0.2">
      <c r="B6" s="15"/>
      <c r="C6" s="15"/>
    </row>
    <row r="7" spans="2:3" x14ac:dyDescent="0.2">
      <c r="B7" s="59" t="s">
        <v>212</v>
      </c>
      <c r="C7" s="59" t="s">
        <v>74</v>
      </c>
    </row>
    <row r="8" spans="2:3" x14ac:dyDescent="0.2">
      <c r="B8" s="99" t="s">
        <v>205</v>
      </c>
      <c r="C8" s="100">
        <f>'Detailed Budget'!H38</f>
        <v>5297500</v>
      </c>
    </row>
    <row r="9" spans="2:3" x14ac:dyDescent="0.2">
      <c r="B9" s="99" t="s">
        <v>206</v>
      </c>
      <c r="C9" s="100">
        <f>'Detailed Budget'!H39</f>
        <v>3646500</v>
      </c>
    </row>
    <row r="10" spans="2:3" x14ac:dyDescent="0.2">
      <c r="B10" s="99" t="s">
        <v>207</v>
      </c>
      <c r="C10" s="100">
        <f>'Detailed Budget'!H40</f>
        <v>1330175</v>
      </c>
    </row>
    <row r="11" spans="2:3" x14ac:dyDescent="0.2">
      <c r="B11" s="99" t="s">
        <v>85</v>
      </c>
      <c r="C11" s="100">
        <f>'Detailed Budget'!H41</f>
        <v>330000</v>
      </c>
    </row>
    <row r="12" spans="2:3" x14ac:dyDescent="0.2">
      <c r="B12" s="99" t="s">
        <v>208</v>
      </c>
      <c r="C12" s="100">
        <f>'Detailed Budget'!H45</f>
        <v>4284200</v>
      </c>
    </row>
    <row r="13" spans="2:3" x14ac:dyDescent="0.2">
      <c r="B13" s="99" t="s">
        <v>209</v>
      </c>
      <c r="C13" s="100">
        <f>Assumption!G11*Assumption!D10</f>
        <v>1347450</v>
      </c>
    </row>
    <row r="14" spans="2:3" x14ac:dyDescent="0.2">
      <c r="B14" s="99" t="s">
        <v>210</v>
      </c>
      <c r="C14" s="100">
        <f>'Detailed Budget'!H48</f>
        <v>15045000</v>
      </c>
    </row>
    <row r="15" spans="2:3" x14ac:dyDescent="0.2">
      <c r="B15" s="99" t="s">
        <v>211</v>
      </c>
      <c r="C15" s="100">
        <f>'Detailed Budget'!H49</f>
        <v>10725000</v>
      </c>
    </row>
    <row r="16" spans="2:3" x14ac:dyDescent="0.2">
      <c r="B16" s="101" t="s">
        <v>199</v>
      </c>
      <c r="C16" s="102">
        <f>SUM(C8:C15)</f>
        <v>42005825</v>
      </c>
    </row>
    <row r="17" spans="2:3" x14ac:dyDescent="0.2">
      <c r="B17" s="103"/>
      <c r="C17" s="103"/>
    </row>
    <row r="18" spans="2:3" x14ac:dyDescent="0.2">
      <c r="B18" s="59" t="s">
        <v>213</v>
      </c>
      <c r="C18" s="59" t="s">
        <v>225</v>
      </c>
    </row>
    <row r="19" spans="2:3" x14ac:dyDescent="0.2">
      <c r="B19" s="99" t="s">
        <v>214</v>
      </c>
      <c r="C19" s="100">
        <f>'Detailed Budget'!H19</f>
        <v>54421399.700000003</v>
      </c>
    </row>
    <row r="20" spans="2:3" x14ac:dyDescent="0.2">
      <c r="B20" s="99" t="s">
        <v>215</v>
      </c>
      <c r="C20" s="104">
        <f>C16/C19</f>
        <v>0.77186226799675639</v>
      </c>
    </row>
    <row r="21" spans="2:3" x14ac:dyDescent="0.2">
      <c r="B21" s="99" t="s">
        <v>216</v>
      </c>
      <c r="C21" s="104">
        <f>1-C20</f>
        <v>0.22813773200324361</v>
      </c>
    </row>
    <row r="22" spans="2:3" x14ac:dyDescent="0.2">
      <c r="B22" s="99" t="s">
        <v>217</v>
      </c>
      <c r="C22" s="105">
        <f>'Detailed Budget'!H56-C16</f>
        <v>10668810.948959999</v>
      </c>
    </row>
    <row r="23" spans="2:3" x14ac:dyDescent="0.2">
      <c r="B23" s="101" t="s">
        <v>218</v>
      </c>
      <c r="C23" s="151">
        <f>C22/C21</f>
        <v>46764780.447665326</v>
      </c>
    </row>
    <row r="24" spans="2:3" x14ac:dyDescent="0.2">
      <c r="B24" s="103"/>
      <c r="C24" s="103"/>
    </row>
    <row r="25" spans="2:3" x14ac:dyDescent="0.2">
      <c r="B25" s="59" t="s">
        <v>299</v>
      </c>
      <c r="C25" s="59" t="s">
        <v>225</v>
      </c>
    </row>
    <row r="26" spans="2:3" x14ac:dyDescent="0.2">
      <c r="B26" s="99" t="s">
        <v>185</v>
      </c>
      <c r="C26" s="106">
        <f>Assumption!G11</f>
        <v>3455</v>
      </c>
    </row>
    <row r="27" spans="2:3" x14ac:dyDescent="0.2">
      <c r="B27" s="99" t="s">
        <v>219</v>
      </c>
      <c r="C27" s="100">
        <f>Assumption!G39</f>
        <v>45631399.700000003</v>
      </c>
    </row>
    <row r="28" spans="2:3" x14ac:dyDescent="0.2">
      <c r="B28" s="99" t="s">
        <v>220</v>
      </c>
      <c r="C28" s="100">
        <f>'Detailed Budget'!H38+'Detailed Budget'!H39+'Detailed Budget'!H41+'Detailed Budget'!H45+'Detailed Budget'!H46+'Detailed Budget'!H48+'Detailed Budget'!H49</f>
        <v>40675650</v>
      </c>
    </row>
    <row r="29" spans="2:3" x14ac:dyDescent="0.2">
      <c r="B29" s="99" t="s">
        <v>221</v>
      </c>
      <c r="C29" s="100">
        <f>C27/C26</f>
        <v>13207.351577424024</v>
      </c>
    </row>
    <row r="30" spans="2:3" x14ac:dyDescent="0.2">
      <c r="B30" s="99" t="s">
        <v>222</v>
      </c>
      <c r="C30" s="100">
        <f>C28/C26</f>
        <v>11772.981186685962</v>
      </c>
    </row>
    <row r="31" spans="2:3" x14ac:dyDescent="0.2">
      <c r="B31" s="99" t="s">
        <v>223</v>
      </c>
      <c r="C31" s="100">
        <f>C29-C30</f>
        <v>1434.3703907380623</v>
      </c>
    </row>
    <row r="32" spans="2:3" x14ac:dyDescent="0.2">
      <c r="B32" s="99" t="s">
        <v>224</v>
      </c>
      <c r="C32" s="100">
        <f>(('Detailed Budget'!H35+'Detailed Budget'!H42+'Detailed Budget'!H53)-'Break-Even Analysis'!C16)*(Assumption!G39/Assumption!G44)</f>
        <v>8945612.9283593204</v>
      </c>
    </row>
    <row r="33" spans="2:3" x14ac:dyDescent="0.2">
      <c r="B33" s="101" t="s">
        <v>283</v>
      </c>
      <c r="C33" s="152">
        <f>C32/C31</f>
        <v>6236.6129321425215</v>
      </c>
    </row>
  </sheetData>
  <mergeCells count="1">
    <mergeCell ref="B1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47A8-A39A-144E-A090-F405CDC33505}">
  <dimension ref="B1:J44"/>
  <sheetViews>
    <sheetView showGridLines="0" zoomScale="130" zoomScaleNormal="130" workbookViewId="0">
      <selection activeCell="G15" sqref="G15"/>
    </sheetView>
  </sheetViews>
  <sheetFormatPr baseColWidth="10" defaultRowHeight="16" x14ac:dyDescent="0.2"/>
  <cols>
    <col min="1" max="1" width="3.1640625" style="1" customWidth="1"/>
    <col min="2" max="2" width="49.6640625" style="1" bestFit="1" customWidth="1"/>
    <col min="3" max="3" width="14.6640625" style="1" customWidth="1"/>
    <col min="4" max="16384" width="10.83203125" style="1"/>
  </cols>
  <sheetData>
    <row r="1" spans="2:10" ht="25" customHeight="1" x14ac:dyDescent="0.2">
      <c r="B1" s="110" t="s">
        <v>257</v>
      </c>
      <c r="C1" s="110"/>
    </row>
    <row r="2" spans="2:10" ht="29" customHeight="1" x14ac:dyDescent="0.2">
      <c r="B2" s="110"/>
      <c r="C2" s="110"/>
    </row>
    <row r="5" spans="2:10" x14ac:dyDescent="0.2">
      <c r="B5" s="22" t="s">
        <v>258</v>
      </c>
      <c r="C5" s="22"/>
    </row>
    <row r="7" spans="2:10" x14ac:dyDescent="0.2">
      <c r="B7" s="3" t="s">
        <v>233</v>
      </c>
      <c r="C7" s="3" t="s">
        <v>225</v>
      </c>
    </row>
    <row r="8" spans="2:10" x14ac:dyDescent="0.2">
      <c r="B8" s="8" t="s">
        <v>259</v>
      </c>
      <c r="C8" s="8">
        <f>Assumption!G11</f>
        <v>3455</v>
      </c>
    </row>
    <row r="9" spans="2:10" x14ac:dyDescent="0.2">
      <c r="B9" s="8" t="s">
        <v>279</v>
      </c>
      <c r="C9" s="8">
        <f>Assumption!C40</f>
        <v>22000</v>
      </c>
    </row>
    <row r="10" spans="2:10" x14ac:dyDescent="0.2">
      <c r="B10" s="8" t="s">
        <v>102</v>
      </c>
      <c r="C10" s="8">
        <f>Assumption!C49</f>
        <v>6</v>
      </c>
    </row>
    <row r="11" spans="2:10" x14ac:dyDescent="0.2">
      <c r="B11" s="8" t="s">
        <v>103</v>
      </c>
      <c r="C11" s="8">
        <f>Assumption!C50</f>
        <v>4</v>
      </c>
    </row>
    <row r="12" spans="2:10" x14ac:dyDescent="0.2">
      <c r="B12" s="8" t="s">
        <v>104</v>
      </c>
      <c r="C12" s="8">
        <f>Assumption!C51</f>
        <v>16</v>
      </c>
    </row>
    <row r="13" spans="2:10" x14ac:dyDescent="0.2">
      <c r="B13" s="8" t="s">
        <v>180</v>
      </c>
      <c r="C13" s="8">
        <f>Assumption!C52</f>
        <v>5</v>
      </c>
      <c r="J13" s="1" t="s">
        <v>281</v>
      </c>
    </row>
    <row r="14" spans="2:10" x14ac:dyDescent="0.2">
      <c r="B14" s="8" t="s">
        <v>181</v>
      </c>
      <c r="C14" s="8">
        <f>Assumption!C53</f>
        <v>5</v>
      </c>
    </row>
    <row r="15" spans="2:10" x14ac:dyDescent="0.2">
      <c r="B15" s="8" t="s">
        <v>182</v>
      </c>
      <c r="C15" s="8">
        <f>Assumption!C54</f>
        <v>4</v>
      </c>
    </row>
    <row r="16" spans="2:10" x14ac:dyDescent="0.2">
      <c r="B16" s="8" t="s">
        <v>105</v>
      </c>
      <c r="C16" s="8">
        <f>Assumption!C55</f>
        <v>3</v>
      </c>
    </row>
    <row r="17" spans="2:3" x14ac:dyDescent="0.2">
      <c r="B17" s="8" t="s">
        <v>106</v>
      </c>
      <c r="C17" s="8">
        <f>Assumption!C56</f>
        <v>1</v>
      </c>
    </row>
    <row r="18" spans="2:3" x14ac:dyDescent="0.2">
      <c r="B18" s="8" t="s">
        <v>24</v>
      </c>
      <c r="C18" s="8">
        <f>Assumption!C57</f>
        <v>1</v>
      </c>
    </row>
    <row r="19" spans="2:3" x14ac:dyDescent="0.2">
      <c r="B19" s="9" t="s">
        <v>280</v>
      </c>
      <c r="C19" s="9">
        <f>Assumption!C58</f>
        <v>45</v>
      </c>
    </row>
    <row r="22" spans="2:3" x14ac:dyDescent="0.2">
      <c r="B22" s="22" t="s">
        <v>260</v>
      </c>
      <c r="C22" s="22"/>
    </row>
    <row r="24" spans="2:3" x14ac:dyDescent="0.2">
      <c r="B24" s="3" t="s">
        <v>233</v>
      </c>
      <c r="C24" s="3" t="s">
        <v>225</v>
      </c>
    </row>
    <row r="25" spans="2:3" x14ac:dyDescent="0.2">
      <c r="B25" s="8" t="s">
        <v>295</v>
      </c>
      <c r="C25" s="61">
        <f>Assumption!G11/Assumption!C49</f>
        <v>575.83333333333337</v>
      </c>
    </row>
    <row r="26" spans="2:3" x14ac:dyDescent="0.2">
      <c r="B26" s="8" t="s">
        <v>294</v>
      </c>
      <c r="C26" s="61">
        <f>Assumption!C40/Assumption!C49</f>
        <v>3666.6666666666665</v>
      </c>
    </row>
    <row r="27" spans="2:3" x14ac:dyDescent="0.2">
      <c r="B27" s="8" t="s">
        <v>293</v>
      </c>
      <c r="C27" s="61">
        <f>Assumption!C40/Assumption!C50</f>
        <v>5500</v>
      </c>
    </row>
    <row r="28" spans="2:3" x14ac:dyDescent="0.2">
      <c r="B28" s="8" t="s">
        <v>296</v>
      </c>
      <c r="C28" s="61">
        <f>Assumption!C40/(Assumption!C49+Assumption!C50)</f>
        <v>2200</v>
      </c>
    </row>
    <row r="29" spans="2:3" x14ac:dyDescent="0.2">
      <c r="B29" s="8" t="s">
        <v>282</v>
      </c>
      <c r="C29" s="61">
        <f>Assumption!C40/(('Analysis Input'!C10*Assumption!C49)+(Assumption!C50*'Analysis Input'!C11))</f>
        <v>11.224489795918368</v>
      </c>
    </row>
    <row r="30" spans="2:3" x14ac:dyDescent="0.2">
      <c r="B30" s="8" t="s">
        <v>297</v>
      </c>
      <c r="C30" s="61">
        <f>Capacity!C19/Assumption!C49</f>
        <v>820.48611111111097</v>
      </c>
    </row>
    <row r="33" spans="2:3" x14ac:dyDescent="0.2">
      <c r="B33" s="22" t="s">
        <v>268</v>
      </c>
      <c r="C33" s="22"/>
    </row>
    <row r="35" spans="2:3" x14ac:dyDescent="0.2">
      <c r="B35" s="3" t="s">
        <v>233</v>
      </c>
      <c r="C35" s="3" t="s">
        <v>225</v>
      </c>
    </row>
    <row r="36" spans="2:3" x14ac:dyDescent="0.2">
      <c r="B36" s="8" t="s">
        <v>261</v>
      </c>
      <c r="C36" s="28">
        <f>Assumption!G44</f>
        <v>54421399.700000003</v>
      </c>
    </row>
    <row r="37" spans="2:3" x14ac:dyDescent="0.2">
      <c r="B37" s="8" t="s">
        <v>262</v>
      </c>
      <c r="C37" s="28">
        <f>Assumption!G44/Assumption!C49</f>
        <v>9070233.2833333332</v>
      </c>
    </row>
    <row r="38" spans="2:3" x14ac:dyDescent="0.2">
      <c r="B38" s="8" t="s">
        <v>263</v>
      </c>
      <c r="C38" s="28">
        <f>Assumption!G44/(Assumption!C49+Assumption!C50)</f>
        <v>5442139.9700000007</v>
      </c>
    </row>
    <row r="39" spans="2:3" x14ac:dyDescent="0.2">
      <c r="B39" s="8" t="s">
        <v>264</v>
      </c>
      <c r="C39" s="28">
        <f>'Detailed Budget'!H35</f>
        <v>7608810.9489599997</v>
      </c>
    </row>
    <row r="40" spans="2:3" x14ac:dyDescent="0.2">
      <c r="B40" s="8" t="s">
        <v>265</v>
      </c>
      <c r="C40" s="28">
        <f>'Detailed Budget'!H35/Assumption!G11</f>
        <v>2202.2607667033285</v>
      </c>
    </row>
    <row r="41" spans="2:3" x14ac:dyDescent="0.2">
      <c r="B41" s="8" t="s">
        <v>266</v>
      </c>
      <c r="C41" s="28">
        <f>'Detailed Budget'!H35/'Detailed Budget'!F16</f>
        <v>345.85504313454544</v>
      </c>
    </row>
    <row r="42" spans="2:3" x14ac:dyDescent="0.2">
      <c r="B42" s="8" t="s">
        <v>267</v>
      </c>
      <c r="C42" s="28">
        <f>('Detailed Budget'!H19-'Detailed Budget'!H56)/Assumption!C49</f>
        <v>291127.29184000072</v>
      </c>
    </row>
    <row r="44" spans="2:3" x14ac:dyDescent="0.2">
      <c r="C44" s="64"/>
    </row>
  </sheetData>
  <mergeCells count="1">
    <mergeCell ref="B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2F9B-D1D0-994C-97CC-25256BA5A146}">
  <dimension ref="B1:E25"/>
  <sheetViews>
    <sheetView showGridLines="0" zoomScale="130" zoomScaleNormal="130" workbookViewId="0">
      <selection activeCell="J11" sqref="J11"/>
    </sheetView>
  </sheetViews>
  <sheetFormatPr baseColWidth="10" defaultRowHeight="16" x14ac:dyDescent="0.2"/>
  <cols>
    <col min="1" max="1" width="4.33203125" style="1" customWidth="1"/>
    <col min="2" max="2" width="45.83203125" style="1" bestFit="1" customWidth="1"/>
    <col min="3" max="3" width="19" style="1" bestFit="1" customWidth="1"/>
    <col min="4" max="4" width="16" style="1" bestFit="1" customWidth="1"/>
    <col min="5" max="5" width="16.83203125" style="1" bestFit="1" customWidth="1"/>
    <col min="6" max="16384" width="10.83203125" style="1"/>
  </cols>
  <sheetData>
    <row r="1" spans="2:5" x14ac:dyDescent="0.2">
      <c r="B1" s="109" t="s">
        <v>111</v>
      </c>
      <c r="C1" s="109"/>
      <c r="D1" s="109"/>
      <c r="E1" s="109"/>
    </row>
    <row r="2" spans="2:5" x14ac:dyDescent="0.2">
      <c r="B2" s="109"/>
      <c r="C2" s="109"/>
      <c r="D2" s="109"/>
      <c r="E2" s="109"/>
    </row>
    <row r="5" spans="2:5" x14ac:dyDescent="0.2">
      <c r="B5" s="17" t="s">
        <v>112</v>
      </c>
      <c r="C5" s="17" t="s">
        <v>113</v>
      </c>
      <c r="D5" s="17" t="s">
        <v>114</v>
      </c>
      <c r="E5" s="17" t="s">
        <v>115</v>
      </c>
    </row>
    <row r="6" spans="2:5" x14ac:dyDescent="0.2">
      <c r="B6" s="8" t="s">
        <v>116</v>
      </c>
      <c r="C6" s="36">
        <v>0.35</v>
      </c>
      <c r="D6" s="36">
        <v>0.2</v>
      </c>
      <c r="E6" s="37">
        <f>C6*D6</f>
        <v>6.9999999999999993E-2</v>
      </c>
    </row>
    <row r="7" spans="2:5" x14ac:dyDescent="0.2">
      <c r="B7" s="8" t="s">
        <v>117</v>
      </c>
      <c r="C7" s="36">
        <v>7.0000000000000007E-2</v>
      </c>
      <c r="D7" s="36">
        <v>0.12</v>
      </c>
      <c r="E7" s="37">
        <f t="shared" ref="E7:E9" si="0">C7*D7</f>
        <v>8.4000000000000012E-3</v>
      </c>
    </row>
    <row r="8" spans="2:5" x14ac:dyDescent="0.2">
      <c r="B8" s="8" t="s">
        <v>118</v>
      </c>
      <c r="C8" s="36">
        <v>0.53</v>
      </c>
      <c r="D8" s="36">
        <v>0.44</v>
      </c>
      <c r="E8" s="37">
        <f t="shared" si="0"/>
        <v>0.23320000000000002</v>
      </c>
    </row>
    <row r="9" spans="2:5" x14ac:dyDescent="0.2">
      <c r="B9" s="8" t="s">
        <v>119</v>
      </c>
      <c r="C9" s="36">
        <v>0.05</v>
      </c>
      <c r="D9" s="36">
        <v>0.1</v>
      </c>
      <c r="E9" s="37">
        <f t="shared" si="0"/>
        <v>5.000000000000001E-3</v>
      </c>
    </row>
    <row r="10" spans="2:5" x14ac:dyDescent="0.2">
      <c r="B10" s="24" t="s">
        <v>120</v>
      </c>
      <c r="C10" s="62">
        <f>SUM(C6:C9)</f>
        <v>1</v>
      </c>
      <c r="D10" s="24"/>
      <c r="E10" s="63">
        <f>SUM(E6:E9)</f>
        <v>0.31659999999999999</v>
      </c>
    </row>
    <row r="11" spans="2:5" x14ac:dyDescent="0.2">
      <c r="B11" s="24" t="s">
        <v>121</v>
      </c>
      <c r="C11" s="63">
        <f>E10</f>
        <v>0.31659999999999999</v>
      </c>
      <c r="D11" s="25"/>
      <c r="E11" s="25"/>
    </row>
    <row r="14" spans="2:5" x14ac:dyDescent="0.2">
      <c r="B14" s="3" t="s">
        <v>122</v>
      </c>
      <c r="C14" s="2"/>
    </row>
    <row r="15" spans="2:5" x14ac:dyDescent="0.2">
      <c r="B15" s="8" t="s">
        <v>123</v>
      </c>
      <c r="C15" s="28">
        <f>SUMPRODUCT(Assumption!C31:C38,Assumption!D31:D38)</f>
        <v>144129500</v>
      </c>
    </row>
    <row r="16" spans="2:5" x14ac:dyDescent="0.2">
      <c r="B16" s="8" t="s">
        <v>124</v>
      </c>
      <c r="C16" s="28">
        <f>Assumption!G39</f>
        <v>45631399.700000003</v>
      </c>
    </row>
    <row r="17" spans="2:5" x14ac:dyDescent="0.2">
      <c r="B17" s="8" t="s">
        <v>125</v>
      </c>
      <c r="C17" s="30">
        <f>C16/C15</f>
        <v>0.31660000000000005</v>
      </c>
    </row>
    <row r="20" spans="2:5" x14ac:dyDescent="0.2">
      <c r="B20" s="17" t="s">
        <v>112</v>
      </c>
      <c r="C20" s="17" t="s">
        <v>126</v>
      </c>
      <c r="D20" s="17" t="s">
        <v>127</v>
      </c>
      <c r="E20" s="17" t="s">
        <v>128</v>
      </c>
    </row>
    <row r="21" spans="2:5" x14ac:dyDescent="0.2">
      <c r="B21" s="8" t="s">
        <v>116</v>
      </c>
      <c r="C21" s="35">
        <f>C6*$C$15</f>
        <v>50445325</v>
      </c>
      <c r="D21" s="29">
        <f>D6</f>
        <v>0.2</v>
      </c>
      <c r="E21" s="38">
        <f>C21*D21</f>
        <v>10089065</v>
      </c>
    </row>
    <row r="22" spans="2:5" x14ac:dyDescent="0.2">
      <c r="B22" s="8" t="s">
        <v>117</v>
      </c>
      <c r="C22" s="35">
        <f t="shared" ref="C22:C24" si="1">C7*$C$15</f>
        <v>10089065.000000002</v>
      </c>
      <c r="D22" s="29">
        <f t="shared" ref="D22:D24" si="2">D7</f>
        <v>0.12</v>
      </c>
      <c r="E22" s="38">
        <f t="shared" ref="E22:E24" si="3">C22*D22</f>
        <v>1210687.8000000003</v>
      </c>
    </row>
    <row r="23" spans="2:5" x14ac:dyDescent="0.2">
      <c r="B23" s="8" t="s">
        <v>118</v>
      </c>
      <c r="C23" s="35">
        <f t="shared" si="1"/>
        <v>76388635</v>
      </c>
      <c r="D23" s="29">
        <f t="shared" si="2"/>
        <v>0.44</v>
      </c>
      <c r="E23" s="38">
        <f t="shared" si="3"/>
        <v>33610999.399999999</v>
      </c>
    </row>
    <row r="24" spans="2:5" x14ac:dyDescent="0.2">
      <c r="B24" s="8" t="s">
        <v>119</v>
      </c>
      <c r="C24" s="35">
        <f t="shared" si="1"/>
        <v>7206475</v>
      </c>
      <c r="D24" s="29">
        <f t="shared" si="2"/>
        <v>0.1</v>
      </c>
      <c r="E24" s="38">
        <f t="shared" si="3"/>
        <v>720647.5</v>
      </c>
    </row>
    <row r="25" spans="2:5" x14ac:dyDescent="0.2">
      <c r="B25" s="24" t="s">
        <v>120</v>
      </c>
      <c r="C25" s="40">
        <f>SUM(C21:C24)</f>
        <v>144129500</v>
      </c>
      <c r="D25" s="24"/>
      <c r="E25" s="40">
        <f>SUM(E21:E24)</f>
        <v>45631399.700000003</v>
      </c>
    </row>
  </sheetData>
  <mergeCells count="1">
    <mergeCell ref="B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C47D-0510-D048-AA5D-9C93C428D204}">
  <dimension ref="B1:D26"/>
  <sheetViews>
    <sheetView showGridLines="0" workbookViewId="0">
      <selection activeCell="E24" sqref="E24"/>
    </sheetView>
  </sheetViews>
  <sheetFormatPr baseColWidth="10" defaultRowHeight="16" x14ac:dyDescent="0.2"/>
  <cols>
    <col min="1" max="1" width="6.1640625" style="1" customWidth="1"/>
    <col min="2" max="2" width="49.1640625" style="1" customWidth="1"/>
    <col min="3" max="3" width="26" style="1" customWidth="1"/>
    <col min="4" max="4" width="33.33203125" style="1" bestFit="1" customWidth="1"/>
    <col min="5" max="16384" width="10.83203125" style="1"/>
  </cols>
  <sheetData>
    <row r="1" spans="2:4" x14ac:dyDescent="0.2">
      <c r="B1" s="109" t="s">
        <v>290</v>
      </c>
      <c r="C1" s="109"/>
      <c r="D1" s="109"/>
    </row>
    <row r="2" spans="2:4" x14ac:dyDescent="0.2">
      <c r="B2" s="109"/>
      <c r="C2" s="109"/>
      <c r="D2" s="109"/>
    </row>
    <row r="4" spans="2:4" x14ac:dyDescent="0.2">
      <c r="B4" s="22" t="s">
        <v>245</v>
      </c>
      <c r="C4" s="54"/>
      <c r="D4" s="54"/>
    </row>
    <row r="6" spans="2:4" x14ac:dyDescent="0.2">
      <c r="B6" s="17" t="s">
        <v>246</v>
      </c>
      <c r="C6" s="17" t="s">
        <v>225</v>
      </c>
      <c r="D6" s="17" t="s">
        <v>247</v>
      </c>
    </row>
    <row r="7" spans="2:4" x14ac:dyDescent="0.2">
      <c r="B7" s="8" t="s">
        <v>248</v>
      </c>
      <c r="C7" s="60">
        <v>90</v>
      </c>
      <c r="D7" s="8" t="s">
        <v>252</v>
      </c>
    </row>
    <row r="8" spans="2:4" x14ac:dyDescent="0.2">
      <c r="B8" s="8" t="s">
        <v>249</v>
      </c>
      <c r="C8" s="60">
        <v>50</v>
      </c>
      <c r="D8" s="8" t="s">
        <v>253</v>
      </c>
    </row>
    <row r="9" spans="2:4" x14ac:dyDescent="0.2">
      <c r="B9" s="8" t="s">
        <v>250</v>
      </c>
      <c r="C9" s="60">
        <v>20</v>
      </c>
      <c r="D9" s="8" t="s">
        <v>254</v>
      </c>
    </row>
    <row r="10" spans="2:4" x14ac:dyDescent="0.2">
      <c r="B10" s="8" t="s">
        <v>274</v>
      </c>
      <c r="C10" s="60">
        <v>180</v>
      </c>
      <c r="D10" s="8" t="s">
        <v>277</v>
      </c>
    </row>
    <row r="11" spans="2:4" x14ac:dyDescent="0.2">
      <c r="B11" s="8" t="s">
        <v>275</v>
      </c>
      <c r="C11" s="60">
        <v>220</v>
      </c>
      <c r="D11" s="8" t="s">
        <v>277</v>
      </c>
    </row>
    <row r="12" spans="2:4" x14ac:dyDescent="0.2">
      <c r="B12" s="8" t="s">
        <v>276</v>
      </c>
      <c r="C12" s="60">
        <v>12</v>
      </c>
      <c r="D12" s="8" t="s">
        <v>278</v>
      </c>
    </row>
    <row r="13" spans="2:4" x14ac:dyDescent="0.2">
      <c r="B13" s="8" t="s">
        <v>251</v>
      </c>
      <c r="C13" s="60">
        <v>340</v>
      </c>
      <c r="D13" s="8" t="s">
        <v>255</v>
      </c>
    </row>
    <row r="16" spans="2:4" x14ac:dyDescent="0.2">
      <c r="B16" s="22" t="s">
        <v>256</v>
      </c>
      <c r="C16" s="54"/>
    </row>
    <row r="18" spans="2:3" x14ac:dyDescent="0.2">
      <c r="B18" s="17" t="s">
        <v>227</v>
      </c>
      <c r="C18" s="17" t="s">
        <v>228</v>
      </c>
    </row>
    <row r="19" spans="2:3" x14ac:dyDescent="0.2">
      <c r="B19" s="8" t="s">
        <v>8</v>
      </c>
      <c r="C19" s="60">
        <v>90</v>
      </c>
    </row>
    <row r="20" spans="2:3" x14ac:dyDescent="0.2">
      <c r="B20" s="8" t="s">
        <v>9</v>
      </c>
      <c r="C20" s="60">
        <v>95</v>
      </c>
    </row>
    <row r="21" spans="2:3" x14ac:dyDescent="0.2">
      <c r="B21" s="8" t="s">
        <v>10</v>
      </c>
      <c r="C21" s="60">
        <v>90</v>
      </c>
    </row>
    <row r="22" spans="2:3" x14ac:dyDescent="0.2">
      <c r="B22" s="8" t="s">
        <v>11</v>
      </c>
      <c r="C22" s="60">
        <v>50</v>
      </c>
    </row>
    <row r="23" spans="2:3" x14ac:dyDescent="0.2">
      <c r="B23" s="8" t="s">
        <v>12</v>
      </c>
      <c r="C23" s="60">
        <v>90</v>
      </c>
    </row>
    <row r="24" spans="2:3" x14ac:dyDescent="0.2">
      <c r="B24" s="8" t="s">
        <v>13</v>
      </c>
      <c r="C24" s="60">
        <v>60</v>
      </c>
    </row>
    <row r="25" spans="2:3" x14ac:dyDescent="0.2">
      <c r="B25" s="8" t="s">
        <v>14</v>
      </c>
      <c r="C25" s="60">
        <v>40</v>
      </c>
    </row>
    <row r="26" spans="2:3" x14ac:dyDescent="0.2">
      <c r="B26" s="8" t="s">
        <v>15</v>
      </c>
      <c r="C26" s="60">
        <v>60</v>
      </c>
    </row>
  </sheetData>
  <mergeCells count="1">
    <mergeCell ref="B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AE67-A476-BF40-8D42-A1335C7A961E}">
  <dimension ref="B1:Q58"/>
  <sheetViews>
    <sheetView showGridLines="0" zoomScaleNormal="100" workbookViewId="0">
      <selection activeCell="E17" sqref="E17"/>
    </sheetView>
  </sheetViews>
  <sheetFormatPr baseColWidth="10" defaultRowHeight="16" x14ac:dyDescent="0.2"/>
  <cols>
    <col min="1" max="1" width="4.6640625" style="1" customWidth="1"/>
    <col min="2" max="2" width="46" style="1" bestFit="1" customWidth="1"/>
    <col min="3" max="3" width="17.83203125" style="1" customWidth="1"/>
    <col min="4" max="4" width="22" style="1" bestFit="1" customWidth="1"/>
    <col min="5" max="5" width="21.1640625" style="1" bestFit="1" customWidth="1"/>
    <col min="6" max="6" width="35.83203125" style="1" bestFit="1" customWidth="1"/>
    <col min="7" max="7" width="18.83203125" style="1" bestFit="1" customWidth="1"/>
    <col min="8" max="16384" width="10.83203125" style="1"/>
  </cols>
  <sheetData>
    <row r="1" spans="2:17" ht="18" customHeight="1" x14ac:dyDescent="0.2">
      <c r="B1" s="109" t="s">
        <v>291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2:17" ht="29" customHeight="1" x14ac:dyDescent="0.2"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</row>
    <row r="4" spans="2:17" x14ac:dyDescent="0.2">
      <c r="B4" s="22" t="s">
        <v>92</v>
      </c>
      <c r="C4" s="23"/>
      <c r="D4" s="23"/>
    </row>
    <row r="5" spans="2:17" x14ac:dyDescent="0.2">
      <c r="F5" s="18" t="s">
        <v>54</v>
      </c>
      <c r="G5" s="17" t="s">
        <v>55</v>
      </c>
      <c r="H5" s="18" t="s">
        <v>56</v>
      </c>
      <c r="I5" s="17" t="s">
        <v>57</v>
      </c>
      <c r="J5" s="18" t="s">
        <v>58</v>
      </c>
      <c r="K5" s="17" t="s">
        <v>59</v>
      </c>
      <c r="L5" s="18" t="s">
        <v>60</v>
      </c>
      <c r="M5" s="17" t="s">
        <v>61</v>
      </c>
      <c r="N5" s="18" t="s">
        <v>62</v>
      </c>
      <c r="O5" s="17" t="s">
        <v>63</v>
      </c>
      <c r="P5" s="18" t="s">
        <v>64</v>
      </c>
      <c r="Q5" s="18" t="s">
        <v>65</v>
      </c>
    </row>
    <row r="6" spans="2:17" x14ac:dyDescent="0.2">
      <c r="B6" s="3" t="s">
        <v>69</v>
      </c>
      <c r="C6" s="17" t="s">
        <v>70</v>
      </c>
      <c r="D6" s="17" t="s">
        <v>5</v>
      </c>
      <c r="F6" s="43">
        <v>7.4999999999999997E-2</v>
      </c>
      <c r="G6" s="43">
        <v>7.4999999999999997E-2</v>
      </c>
      <c r="H6" s="43">
        <v>8.2000000000000003E-2</v>
      </c>
      <c r="I6" s="43">
        <v>8.3000000000000004E-2</v>
      </c>
      <c r="J6" s="43">
        <v>8.5000000000000006E-2</v>
      </c>
      <c r="K6" s="43">
        <v>8.5999999999999993E-2</v>
      </c>
      <c r="L6" s="43">
        <v>8.6999999999999994E-2</v>
      </c>
      <c r="M6" s="43">
        <v>8.6999999999999994E-2</v>
      </c>
      <c r="N6" s="43">
        <v>8.4000000000000005E-2</v>
      </c>
      <c r="O6" s="43">
        <v>8.3000000000000004E-2</v>
      </c>
      <c r="P6" s="43">
        <v>8.1000000000000003E-2</v>
      </c>
      <c r="Q6" s="43">
        <v>7.1999999999999995E-2</v>
      </c>
    </row>
    <row r="7" spans="2:17" x14ac:dyDescent="0.2">
      <c r="B7" s="20" t="s">
        <v>81</v>
      </c>
      <c r="C7" s="10" t="s">
        <v>72</v>
      </c>
      <c r="D7" s="31">
        <v>3000</v>
      </c>
    </row>
    <row r="8" spans="2:17" x14ac:dyDescent="0.2">
      <c r="B8" s="20" t="s">
        <v>37</v>
      </c>
      <c r="C8" s="10" t="s">
        <v>71</v>
      </c>
      <c r="D8" s="31">
        <v>11000</v>
      </c>
    </row>
    <row r="9" spans="2:17" x14ac:dyDescent="0.2">
      <c r="B9" s="20" t="s">
        <v>34</v>
      </c>
      <c r="C9" s="10" t="s">
        <v>72</v>
      </c>
      <c r="D9" s="31">
        <v>1240</v>
      </c>
    </row>
    <row r="10" spans="2:17" x14ac:dyDescent="0.2">
      <c r="B10" s="20" t="s">
        <v>35</v>
      </c>
      <c r="C10" s="10" t="s">
        <v>72</v>
      </c>
      <c r="D10" s="31">
        <v>390</v>
      </c>
      <c r="F10" s="3" t="s">
        <v>188</v>
      </c>
      <c r="G10" s="3" t="s">
        <v>42</v>
      </c>
    </row>
    <row r="11" spans="2:17" x14ac:dyDescent="0.2">
      <c r="B11" s="20" t="s">
        <v>80</v>
      </c>
      <c r="C11" s="10" t="s">
        <v>73</v>
      </c>
      <c r="D11" s="31">
        <v>120000</v>
      </c>
      <c r="F11" s="19" t="s">
        <v>185</v>
      </c>
      <c r="G11" s="1">
        <f>SUM(C31:C38)</f>
        <v>3455</v>
      </c>
    </row>
    <row r="12" spans="2:17" x14ac:dyDescent="0.2">
      <c r="B12" s="20" t="s">
        <v>79</v>
      </c>
      <c r="C12" s="10" t="s">
        <v>73</v>
      </c>
      <c r="D12" s="31">
        <v>3700000</v>
      </c>
      <c r="F12" s="19" t="s">
        <v>186</v>
      </c>
      <c r="G12" s="1">
        <f>C32+C33+C36</f>
        <v>975</v>
      </c>
    </row>
    <row r="13" spans="2:17" x14ac:dyDescent="0.2">
      <c r="B13" s="20" t="s">
        <v>78</v>
      </c>
      <c r="C13" s="10" t="s">
        <v>73</v>
      </c>
      <c r="D13" s="31">
        <v>2150000</v>
      </c>
      <c r="F13" s="19" t="s">
        <v>187</v>
      </c>
      <c r="G13" s="1">
        <f>C32+C33</f>
        <v>650</v>
      </c>
    </row>
    <row r="14" spans="2:17" x14ac:dyDescent="0.2">
      <c r="B14" s="20" t="s">
        <v>77</v>
      </c>
      <c r="C14" s="10" t="s">
        <v>74</v>
      </c>
      <c r="D14" s="31">
        <v>670000</v>
      </c>
    </row>
    <row r="16" spans="2:17" x14ac:dyDescent="0.2">
      <c r="B16" s="3" t="s">
        <v>82</v>
      </c>
      <c r="C16" s="17" t="s">
        <v>70</v>
      </c>
      <c r="D16" s="17" t="s">
        <v>5</v>
      </c>
    </row>
    <row r="17" spans="2:7" x14ac:dyDescent="0.2">
      <c r="B17" s="21" t="s">
        <v>88</v>
      </c>
      <c r="C17" s="10" t="s">
        <v>83</v>
      </c>
      <c r="D17" s="31">
        <v>8150</v>
      </c>
    </row>
    <row r="18" spans="2:7" x14ac:dyDescent="0.2">
      <c r="B18" s="21" t="s">
        <v>87</v>
      </c>
      <c r="C18" s="10" t="s">
        <v>83</v>
      </c>
      <c r="D18" s="31">
        <v>1300</v>
      </c>
    </row>
    <row r="19" spans="2:7" x14ac:dyDescent="0.2">
      <c r="B19" s="21" t="s">
        <v>30</v>
      </c>
      <c r="C19" s="10" t="s">
        <v>72</v>
      </c>
      <c r="D19" s="31">
        <v>385</v>
      </c>
    </row>
    <row r="20" spans="2:7" x14ac:dyDescent="0.2">
      <c r="B20" s="21" t="s">
        <v>86</v>
      </c>
      <c r="C20" s="10" t="s">
        <v>84</v>
      </c>
      <c r="D20" s="31">
        <v>15</v>
      </c>
    </row>
    <row r="22" spans="2:7" x14ac:dyDescent="0.2">
      <c r="B22" s="3" t="s">
        <v>89</v>
      </c>
      <c r="C22" s="17" t="s">
        <v>70</v>
      </c>
      <c r="D22" s="17" t="s">
        <v>5</v>
      </c>
    </row>
    <row r="23" spans="2:7" x14ac:dyDescent="0.2">
      <c r="B23" s="8" t="s">
        <v>20</v>
      </c>
      <c r="C23" s="10" t="s">
        <v>183</v>
      </c>
      <c r="D23" s="47">
        <v>6.2E-2</v>
      </c>
    </row>
    <row r="24" spans="2:7" x14ac:dyDescent="0.2">
      <c r="B24" s="8" t="s">
        <v>90</v>
      </c>
      <c r="C24" s="10" t="s">
        <v>74</v>
      </c>
      <c r="D24" s="31">
        <v>195000</v>
      </c>
    </row>
    <row r="25" spans="2:7" x14ac:dyDescent="0.2">
      <c r="B25" s="8" t="s">
        <v>22</v>
      </c>
      <c r="C25" s="10" t="s">
        <v>91</v>
      </c>
      <c r="D25" s="32">
        <v>0.22</v>
      </c>
    </row>
    <row r="26" spans="2:7" x14ac:dyDescent="0.2">
      <c r="B26" s="8" t="s">
        <v>23</v>
      </c>
      <c r="C26" s="10" t="s">
        <v>91</v>
      </c>
      <c r="D26" s="33">
        <v>7.4999999999999997E-2</v>
      </c>
    </row>
    <row r="28" spans="2:7" x14ac:dyDescent="0.2">
      <c r="B28" s="22" t="s">
        <v>93</v>
      </c>
      <c r="C28" s="23"/>
      <c r="D28" s="23"/>
      <c r="E28" s="23"/>
      <c r="F28" s="23"/>
      <c r="G28" s="23"/>
    </row>
    <row r="30" spans="2:7" x14ac:dyDescent="0.2">
      <c r="B30" s="3" t="s">
        <v>94</v>
      </c>
      <c r="C30" s="3" t="s">
        <v>95</v>
      </c>
      <c r="D30" s="3" t="s">
        <v>179</v>
      </c>
      <c r="E30" s="3" t="s">
        <v>96</v>
      </c>
      <c r="F30" s="3" t="s">
        <v>98</v>
      </c>
      <c r="G30" s="3" t="s">
        <v>97</v>
      </c>
    </row>
    <row r="31" spans="2:7" x14ac:dyDescent="0.2">
      <c r="B31" s="11" t="s">
        <v>8</v>
      </c>
      <c r="C31" s="34">
        <v>400</v>
      </c>
      <c r="D31" s="31">
        <v>44000</v>
      </c>
      <c r="E31" s="32">
        <f>'Payor Mix'!$C$11</f>
        <v>0.31659999999999999</v>
      </c>
      <c r="F31" s="35">
        <f>E31*D31</f>
        <v>13930.4</v>
      </c>
      <c r="G31" s="35">
        <f>F31*C31</f>
        <v>5572160</v>
      </c>
    </row>
    <row r="32" spans="2:7" x14ac:dyDescent="0.2">
      <c r="B32" s="11" t="s">
        <v>9</v>
      </c>
      <c r="C32" s="34">
        <v>300</v>
      </c>
      <c r="D32" s="31">
        <v>82000</v>
      </c>
      <c r="E32" s="32">
        <f>'Payor Mix'!$C$11</f>
        <v>0.31659999999999999</v>
      </c>
      <c r="F32" s="35">
        <f t="shared" ref="F32:F38" si="0">E32*D32</f>
        <v>25961.200000000001</v>
      </c>
      <c r="G32" s="35">
        <f t="shared" ref="G32:G38" si="1">F32*C32</f>
        <v>7788360</v>
      </c>
    </row>
    <row r="33" spans="2:7" x14ac:dyDescent="0.2">
      <c r="B33" s="11" t="s">
        <v>10</v>
      </c>
      <c r="C33" s="34">
        <v>350</v>
      </c>
      <c r="D33" s="31">
        <v>86300</v>
      </c>
      <c r="E33" s="32">
        <f>'Payor Mix'!$C$11</f>
        <v>0.31659999999999999</v>
      </c>
      <c r="F33" s="35">
        <f t="shared" si="0"/>
        <v>27322.579999999998</v>
      </c>
      <c r="G33" s="35">
        <f t="shared" si="1"/>
        <v>9562903</v>
      </c>
    </row>
    <row r="34" spans="2:7" x14ac:dyDescent="0.2">
      <c r="B34" s="11" t="s">
        <v>11</v>
      </c>
      <c r="C34" s="34">
        <v>500</v>
      </c>
      <c r="D34" s="31">
        <v>28100</v>
      </c>
      <c r="E34" s="32">
        <f>'Payor Mix'!$C$11</f>
        <v>0.31659999999999999</v>
      </c>
      <c r="F34" s="35">
        <f t="shared" si="0"/>
        <v>8896.4599999999991</v>
      </c>
      <c r="G34" s="35">
        <f t="shared" si="1"/>
        <v>4448230</v>
      </c>
    </row>
    <row r="35" spans="2:7" x14ac:dyDescent="0.2">
      <c r="B35" s="11" t="s">
        <v>12</v>
      </c>
      <c r="C35" s="34">
        <v>430</v>
      </c>
      <c r="D35" s="31">
        <v>47400</v>
      </c>
      <c r="E35" s="32">
        <f>'Payor Mix'!$C$11</f>
        <v>0.31659999999999999</v>
      </c>
      <c r="F35" s="35">
        <f t="shared" si="0"/>
        <v>15006.84</v>
      </c>
      <c r="G35" s="35">
        <f t="shared" si="1"/>
        <v>6452941.2000000002</v>
      </c>
    </row>
    <row r="36" spans="2:7" x14ac:dyDescent="0.2">
      <c r="B36" s="11" t="s">
        <v>13</v>
      </c>
      <c r="C36" s="34">
        <v>325</v>
      </c>
      <c r="D36" s="31">
        <v>36900</v>
      </c>
      <c r="E36" s="32">
        <f>'Payor Mix'!$C$11</f>
        <v>0.31659999999999999</v>
      </c>
      <c r="F36" s="35">
        <f t="shared" si="0"/>
        <v>11682.539999999999</v>
      </c>
      <c r="G36" s="35">
        <f t="shared" si="1"/>
        <v>3796825.4999999995</v>
      </c>
    </row>
    <row r="37" spans="2:7" x14ac:dyDescent="0.2">
      <c r="B37" s="11" t="s">
        <v>14</v>
      </c>
      <c r="C37" s="34">
        <v>700</v>
      </c>
      <c r="D37" s="31">
        <v>17050</v>
      </c>
      <c r="E37" s="32">
        <f>'Payor Mix'!$C$11</f>
        <v>0.31659999999999999</v>
      </c>
      <c r="F37" s="35">
        <f t="shared" si="0"/>
        <v>5398.03</v>
      </c>
      <c r="G37" s="35">
        <f t="shared" si="1"/>
        <v>3778621</v>
      </c>
    </row>
    <row r="38" spans="2:7" x14ac:dyDescent="0.2">
      <c r="B38" s="11" t="s">
        <v>15</v>
      </c>
      <c r="C38" s="34">
        <v>450</v>
      </c>
      <c r="D38" s="31">
        <v>29700</v>
      </c>
      <c r="E38" s="32">
        <f>'Payor Mix'!$C$11</f>
        <v>0.31659999999999999</v>
      </c>
      <c r="F38" s="35">
        <f t="shared" si="0"/>
        <v>9403.02</v>
      </c>
      <c r="G38" s="35">
        <f t="shared" si="1"/>
        <v>4231359</v>
      </c>
    </row>
    <row r="39" spans="2:7" x14ac:dyDescent="0.2">
      <c r="B39" s="24" t="s">
        <v>99</v>
      </c>
      <c r="C39" s="25">
        <f>SUM(C31:C38)</f>
        <v>3455</v>
      </c>
      <c r="D39" s="25"/>
      <c r="E39" s="25"/>
      <c r="F39" s="25"/>
      <c r="G39" s="39">
        <f>SUM(G31:G38)</f>
        <v>45631399.700000003</v>
      </c>
    </row>
    <row r="40" spans="2:7" x14ac:dyDescent="0.2">
      <c r="B40" s="11" t="s">
        <v>16</v>
      </c>
      <c r="C40" s="34">
        <v>22000</v>
      </c>
      <c r="D40" s="8"/>
      <c r="E40" s="8"/>
      <c r="F40" s="31">
        <v>300</v>
      </c>
      <c r="G40" s="35">
        <f>C40*F40</f>
        <v>6600000</v>
      </c>
    </row>
    <row r="41" spans="2:7" x14ac:dyDescent="0.2">
      <c r="B41" s="11" t="s">
        <v>17</v>
      </c>
      <c r="C41" s="34">
        <v>8000</v>
      </c>
      <c r="D41" s="8"/>
      <c r="E41" s="8"/>
      <c r="F41" s="31">
        <v>150</v>
      </c>
      <c r="G41" s="35">
        <f t="shared" ref="G41:G42" si="2">C41*F41</f>
        <v>1200000</v>
      </c>
    </row>
    <row r="42" spans="2:7" x14ac:dyDescent="0.2">
      <c r="B42" s="11" t="s">
        <v>18</v>
      </c>
      <c r="C42" s="34">
        <v>4500</v>
      </c>
      <c r="D42" s="8"/>
      <c r="E42" s="8"/>
      <c r="F42" s="31">
        <v>220</v>
      </c>
      <c r="G42" s="35">
        <f t="shared" si="2"/>
        <v>990000</v>
      </c>
    </row>
    <row r="43" spans="2:7" x14ac:dyDescent="0.2">
      <c r="B43" s="24" t="s">
        <v>100</v>
      </c>
      <c r="C43" s="25"/>
      <c r="D43" s="25"/>
      <c r="E43" s="25"/>
      <c r="F43" s="25"/>
      <c r="G43" s="40">
        <f>SUM(G40:G42)</f>
        <v>8790000</v>
      </c>
    </row>
    <row r="44" spans="2:7" x14ac:dyDescent="0.2">
      <c r="B44" s="24" t="s">
        <v>97</v>
      </c>
      <c r="C44" s="25"/>
      <c r="D44" s="25"/>
      <c r="E44" s="25"/>
      <c r="F44" s="25"/>
      <c r="G44" s="40">
        <f>G43+G39</f>
        <v>54421399.700000003</v>
      </c>
    </row>
    <row r="46" spans="2:7" x14ac:dyDescent="0.2">
      <c r="B46" s="22" t="s">
        <v>101</v>
      </c>
      <c r="C46" s="23"/>
      <c r="D46" s="23"/>
      <c r="E46" s="23"/>
    </row>
    <row r="48" spans="2:7" x14ac:dyDescent="0.2">
      <c r="B48" s="3" t="s">
        <v>109</v>
      </c>
      <c r="C48" s="17" t="s">
        <v>46</v>
      </c>
      <c r="D48" s="17" t="s">
        <v>107</v>
      </c>
      <c r="E48" s="17" t="s">
        <v>108</v>
      </c>
    </row>
    <row r="49" spans="2:5" x14ac:dyDescent="0.2">
      <c r="B49" s="8" t="s">
        <v>102</v>
      </c>
      <c r="C49" s="34">
        <v>6</v>
      </c>
      <c r="D49" s="31">
        <v>375000</v>
      </c>
      <c r="E49" s="35">
        <f>C49*D49</f>
        <v>2250000</v>
      </c>
    </row>
    <row r="50" spans="2:5" x14ac:dyDescent="0.2">
      <c r="B50" s="8" t="s">
        <v>103</v>
      </c>
      <c r="C50" s="34">
        <v>4</v>
      </c>
      <c r="D50" s="31">
        <v>140236</v>
      </c>
      <c r="E50" s="35">
        <f t="shared" ref="E50:E57" si="3">C50*D50</f>
        <v>560944</v>
      </c>
    </row>
    <row r="51" spans="2:5" x14ac:dyDescent="0.2">
      <c r="B51" s="8" t="s">
        <v>104</v>
      </c>
      <c r="C51" s="34">
        <v>16</v>
      </c>
      <c r="D51" s="31">
        <v>85411</v>
      </c>
      <c r="E51" s="35">
        <f t="shared" si="3"/>
        <v>1366576</v>
      </c>
    </row>
    <row r="52" spans="2:5" x14ac:dyDescent="0.2">
      <c r="B52" s="8" t="s">
        <v>180</v>
      </c>
      <c r="C52" s="34">
        <v>5</v>
      </c>
      <c r="D52" s="31">
        <v>55269</v>
      </c>
      <c r="E52" s="35">
        <f t="shared" si="3"/>
        <v>276345</v>
      </c>
    </row>
    <row r="53" spans="2:5" x14ac:dyDescent="0.2">
      <c r="B53" s="8" t="s">
        <v>181</v>
      </c>
      <c r="C53" s="34">
        <v>5</v>
      </c>
      <c r="D53" s="31">
        <v>62110</v>
      </c>
      <c r="E53" s="35">
        <f t="shared" si="3"/>
        <v>310550</v>
      </c>
    </row>
    <row r="54" spans="2:5" x14ac:dyDescent="0.2">
      <c r="B54" s="8" t="s">
        <v>182</v>
      </c>
      <c r="C54" s="34">
        <v>4</v>
      </c>
      <c r="D54" s="31">
        <v>58401</v>
      </c>
      <c r="E54" s="35">
        <f t="shared" si="3"/>
        <v>233604</v>
      </c>
    </row>
    <row r="55" spans="2:5" x14ac:dyDescent="0.2">
      <c r="B55" s="8" t="s">
        <v>105</v>
      </c>
      <c r="C55" s="34">
        <v>3</v>
      </c>
      <c r="D55" s="31">
        <v>67484</v>
      </c>
      <c r="E55" s="35">
        <f t="shared" si="3"/>
        <v>202452</v>
      </c>
    </row>
    <row r="56" spans="2:5" x14ac:dyDescent="0.2">
      <c r="B56" s="8" t="s">
        <v>106</v>
      </c>
      <c r="C56" s="34">
        <v>1</v>
      </c>
      <c r="D56" s="31">
        <v>110000</v>
      </c>
      <c r="E56" s="35">
        <f t="shared" si="3"/>
        <v>110000</v>
      </c>
    </row>
    <row r="57" spans="2:5" x14ac:dyDescent="0.2">
      <c r="B57" s="8" t="s">
        <v>24</v>
      </c>
      <c r="C57" s="34">
        <v>1</v>
      </c>
      <c r="D57" s="31">
        <v>98543</v>
      </c>
      <c r="E57" s="35">
        <f t="shared" si="3"/>
        <v>98543</v>
      </c>
    </row>
    <row r="58" spans="2:5" x14ac:dyDescent="0.2">
      <c r="B58" s="24" t="s">
        <v>110</v>
      </c>
      <c r="C58" s="25">
        <f>SUM(C49:C57)</f>
        <v>45</v>
      </c>
      <c r="D58" s="25"/>
      <c r="E58" s="40">
        <f>SUM(E49:E57)</f>
        <v>5409014</v>
      </c>
    </row>
  </sheetData>
  <mergeCells count="1">
    <mergeCell ref="B1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678A-1163-2E44-9E1B-4EBC17E6F09C}">
  <dimension ref="B1:C30"/>
  <sheetViews>
    <sheetView showGridLines="0" zoomScale="140" zoomScaleNormal="140" workbookViewId="0">
      <selection activeCell="J22" sqref="J22"/>
    </sheetView>
  </sheetViews>
  <sheetFormatPr baseColWidth="10" defaultRowHeight="16" x14ac:dyDescent="0.2"/>
  <cols>
    <col min="1" max="1" width="2.33203125" style="1" customWidth="1"/>
    <col min="2" max="2" width="32" style="1" bestFit="1" customWidth="1"/>
    <col min="3" max="3" width="39.5" style="1" bestFit="1" customWidth="1"/>
    <col min="4" max="16384" width="10.83203125" style="1"/>
  </cols>
  <sheetData>
    <row r="1" spans="2:3" x14ac:dyDescent="0.2">
      <c r="B1" s="109" t="s">
        <v>178</v>
      </c>
      <c r="C1" s="109"/>
    </row>
    <row r="2" spans="2:3" ht="26" customHeight="1" x14ac:dyDescent="0.2">
      <c r="B2" s="109"/>
      <c r="C2" s="109"/>
    </row>
    <row r="3" spans="2:3" ht="17" thickBot="1" x14ac:dyDescent="0.25"/>
    <row r="4" spans="2:3" x14ac:dyDescent="0.2">
      <c r="B4" s="26" t="s">
        <v>1</v>
      </c>
      <c r="C4" s="27" t="s">
        <v>129</v>
      </c>
    </row>
    <row r="5" spans="2:3" x14ac:dyDescent="0.2">
      <c r="B5" s="65" t="s">
        <v>173</v>
      </c>
      <c r="C5" s="66" t="s">
        <v>174</v>
      </c>
    </row>
    <row r="6" spans="2:3" x14ac:dyDescent="0.2">
      <c r="B6" s="65" t="s">
        <v>150</v>
      </c>
      <c r="C6" s="66" t="s">
        <v>151</v>
      </c>
    </row>
    <row r="7" spans="2:3" x14ac:dyDescent="0.2">
      <c r="B7" s="65" t="s">
        <v>136</v>
      </c>
      <c r="C7" s="66" t="s">
        <v>137</v>
      </c>
    </row>
    <row r="8" spans="2:3" x14ac:dyDescent="0.2">
      <c r="B8" s="65" t="s">
        <v>163</v>
      </c>
      <c r="C8" s="66" t="s">
        <v>164</v>
      </c>
    </row>
    <row r="9" spans="2:3" x14ac:dyDescent="0.2">
      <c r="B9" s="65" t="s">
        <v>142</v>
      </c>
      <c r="C9" s="66" t="s">
        <v>143</v>
      </c>
    </row>
    <row r="10" spans="2:3" x14ac:dyDescent="0.2">
      <c r="B10" s="65" t="s">
        <v>176</v>
      </c>
      <c r="C10" s="66" t="s">
        <v>177</v>
      </c>
    </row>
    <row r="11" spans="2:3" x14ac:dyDescent="0.2">
      <c r="B11" s="65" t="s">
        <v>152</v>
      </c>
      <c r="C11" s="66" t="s">
        <v>153</v>
      </c>
    </row>
    <row r="12" spans="2:3" x14ac:dyDescent="0.2">
      <c r="B12" s="65" t="s">
        <v>134</v>
      </c>
      <c r="C12" s="66" t="s">
        <v>135</v>
      </c>
    </row>
    <row r="13" spans="2:3" x14ac:dyDescent="0.2">
      <c r="B13" s="65" t="s">
        <v>85</v>
      </c>
      <c r="C13" s="66" t="s">
        <v>162</v>
      </c>
    </row>
    <row r="14" spans="2:3" x14ac:dyDescent="0.2">
      <c r="B14" s="65" t="s">
        <v>77</v>
      </c>
      <c r="C14" s="66" t="s">
        <v>175</v>
      </c>
    </row>
    <row r="15" spans="2:3" x14ac:dyDescent="0.2">
      <c r="B15" s="65" t="s">
        <v>76</v>
      </c>
      <c r="C15" s="66" t="s">
        <v>172</v>
      </c>
    </row>
    <row r="16" spans="2:3" x14ac:dyDescent="0.2">
      <c r="B16" s="65" t="s">
        <v>156</v>
      </c>
      <c r="C16" s="66" t="s">
        <v>157</v>
      </c>
    </row>
    <row r="17" spans="2:3" x14ac:dyDescent="0.2">
      <c r="B17" s="65" t="s">
        <v>170</v>
      </c>
      <c r="C17" s="66" t="s">
        <v>171</v>
      </c>
    </row>
    <row r="18" spans="2:3" x14ac:dyDescent="0.2">
      <c r="B18" s="65" t="s">
        <v>144</v>
      </c>
      <c r="C18" s="66" t="s">
        <v>145</v>
      </c>
    </row>
    <row r="19" spans="2:3" x14ac:dyDescent="0.2">
      <c r="B19" s="65" t="s">
        <v>168</v>
      </c>
      <c r="C19" s="66" t="s">
        <v>169</v>
      </c>
    </row>
    <row r="20" spans="2:3" x14ac:dyDescent="0.2">
      <c r="B20" s="65" t="s">
        <v>138</v>
      </c>
      <c r="C20" s="66" t="s">
        <v>139</v>
      </c>
    </row>
    <row r="21" spans="2:3" x14ac:dyDescent="0.2">
      <c r="B21" s="65" t="s">
        <v>148</v>
      </c>
      <c r="C21" s="66" t="s">
        <v>149</v>
      </c>
    </row>
    <row r="22" spans="2:3" x14ac:dyDescent="0.2">
      <c r="B22" s="65" t="s">
        <v>154</v>
      </c>
      <c r="C22" s="66" t="s">
        <v>155</v>
      </c>
    </row>
    <row r="23" spans="2:3" x14ac:dyDescent="0.2">
      <c r="B23" s="65" t="s">
        <v>160</v>
      </c>
      <c r="C23" s="66" t="s">
        <v>161</v>
      </c>
    </row>
    <row r="24" spans="2:3" x14ac:dyDescent="0.2">
      <c r="B24" s="65" t="s">
        <v>140</v>
      </c>
      <c r="C24" s="66" t="s">
        <v>141</v>
      </c>
    </row>
    <row r="25" spans="2:3" x14ac:dyDescent="0.2">
      <c r="B25" s="65" t="s">
        <v>75</v>
      </c>
      <c r="C25" s="66" t="s">
        <v>167</v>
      </c>
    </row>
    <row r="26" spans="2:3" x14ac:dyDescent="0.2">
      <c r="B26" s="65" t="s">
        <v>165</v>
      </c>
      <c r="C26" s="66" t="s">
        <v>166</v>
      </c>
    </row>
    <row r="27" spans="2:3" x14ac:dyDescent="0.2">
      <c r="B27" s="65" t="s">
        <v>146</v>
      </c>
      <c r="C27" s="66" t="s">
        <v>147</v>
      </c>
    </row>
    <row r="28" spans="2:3" x14ac:dyDescent="0.2">
      <c r="B28" s="65" t="s">
        <v>158</v>
      </c>
      <c r="C28" s="66" t="s">
        <v>159</v>
      </c>
    </row>
    <row r="29" spans="2:3" x14ac:dyDescent="0.2">
      <c r="B29" s="65" t="s">
        <v>130</v>
      </c>
      <c r="C29" s="66" t="s">
        <v>131</v>
      </c>
    </row>
    <row r="30" spans="2:3" ht="17" thickBot="1" x14ac:dyDescent="0.25">
      <c r="B30" s="67" t="s">
        <v>132</v>
      </c>
      <c r="C30" s="68" t="s">
        <v>133</v>
      </c>
    </row>
  </sheetData>
  <sortState xmlns:xlrd2="http://schemas.microsoft.com/office/spreadsheetml/2017/richdata2" ref="B5:C30">
    <sortCondition ref="B5:B30"/>
  </sortState>
  <mergeCells count="1">
    <mergeCell ref="B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</vt:lpstr>
      <vt:lpstr>Annual Budget</vt:lpstr>
      <vt:lpstr>Detailed Budget</vt:lpstr>
      <vt:lpstr>Procedure Margin</vt:lpstr>
      <vt:lpstr>Capacity</vt:lpstr>
      <vt:lpstr>Break-Even Analysis</vt:lpstr>
      <vt:lpstr>Productivity</vt:lpstr>
      <vt:lpstr>Payor Mix</vt:lpstr>
      <vt:lpstr>Analysis Input</vt:lpstr>
      <vt:lpstr>Assumption</vt:lpstr>
      <vt:lpstr>Detail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Alali</dc:creator>
  <cp:lastModifiedBy>Abdulrahman Alali</cp:lastModifiedBy>
  <dcterms:created xsi:type="dcterms:W3CDTF">2026-01-26T21:32:07Z</dcterms:created>
  <dcterms:modified xsi:type="dcterms:W3CDTF">2026-01-29T02:51:39Z</dcterms:modified>
</cp:coreProperties>
</file>